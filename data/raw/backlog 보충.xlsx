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요약" sheetId="2" state="visible" r:id="rId4"/>
    <sheet name="구조적결손분류" sheetId="3" state="visible" r:id="rId5"/>
    <sheet name="파일1_구장정보" sheetId="4" state="visible" r:id="rId6"/>
    <sheet name="파일2_F&amp;B콘텐츠" sheetId="5" state="visible" r:id="rId7"/>
    <sheet name="신규확보데이터" sheetId="6" state="visible" r:id="rId8"/>
    <sheet name="3차출처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<sst xmlns="http://schemas.openxmlformats.org/spreadsheetml/2006/main" count="845" uniqueCount="457">
  <si>
    <r>
      <rPr>
        <b val="true"/>
        <sz val="16"/>
        <color rgb="FFFFFFFF"/>
        <rFont val="Calibri"/>
        <family val="0"/>
        <charset val="1"/>
      </rPr>
      <t xml:space="preserve">KBO Backlog </t>
    </r>
    <r>
      <rPr>
        <b val="true"/>
        <sz val="16"/>
        <color rgb="FFFFFFFF"/>
        <rFont val="Noto Sans CJK SC"/>
        <family val="2"/>
      </rPr>
      <t xml:space="preserve">설명서 — </t>
    </r>
    <r>
      <rPr>
        <b val="true"/>
        <sz val="16"/>
        <color rgb="FFFFFFFF"/>
        <rFont val="Calibri"/>
        <family val="0"/>
        <charset val="1"/>
      </rPr>
      <t xml:space="preserve">3</t>
    </r>
    <r>
      <rPr>
        <b val="true"/>
        <sz val="16"/>
        <color rgb="FFFFFFFF"/>
        <rFont val="Noto Sans CJK SC"/>
        <family val="2"/>
      </rPr>
      <t xml:space="preserve">차 재검증</t>
    </r>
    <r>
      <rPr>
        <b val="true"/>
        <sz val="16"/>
        <color rgb="FFFFFFFF"/>
        <rFont val="Calibri"/>
        <family val="0"/>
        <charset val="1"/>
      </rPr>
      <t xml:space="preserve">(2026-09-05) </t>
    </r>
    <r>
      <rPr>
        <b val="true"/>
        <sz val="16"/>
        <color rgb="FFFFFFFF"/>
        <rFont val="Noto Sans CJK SC"/>
        <family val="2"/>
      </rPr>
      <t xml:space="preserve">반영</t>
    </r>
  </si>
  <si>
    <t xml:space="preserve">항목</t>
  </si>
  <si>
    <t xml:space="preserve">설명</t>
  </si>
  <si>
    <r>
      <rPr>
        <b val="true"/>
        <sz val="11"/>
        <rFont val="Calibri"/>
        <family val="0"/>
        <charset val="1"/>
      </rPr>
      <t xml:space="preserve">Backlog</t>
    </r>
    <r>
      <rPr>
        <b val="true"/>
        <sz val="11"/>
        <rFont val="Noto Sans CJK SC"/>
        <family val="2"/>
      </rPr>
      <t xml:space="preserve">의 의미</t>
    </r>
  </si>
  <si>
    <r>
      <rPr>
        <sz val="11"/>
        <rFont val="Noto Sans CJK SC"/>
        <family val="2"/>
      </rPr>
      <t xml:space="preserve">공식 구단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구장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지자체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운영기관 자료에서 필요한 필드를 끝까지 확인하지 못했거나 일부만 확인된 항목입니다</t>
    </r>
    <r>
      <rPr>
        <sz val="11"/>
        <rFont val="Calibri"/>
        <family val="0"/>
        <charset val="1"/>
      </rPr>
      <t xml:space="preserve">.</t>
    </r>
  </si>
  <si>
    <t xml:space="preserve">NOT_FOUND</t>
  </si>
  <si>
    <r>
      <rPr>
        <sz val="11"/>
        <rFont val="Noto Sans CJK SC"/>
        <family val="2"/>
      </rPr>
      <t xml:space="preserve">공식 공개자료를 다시 검색했지만 필요한 값 자체를 찾지 못했습니다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비공식 블로그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커뮤니티 값은 넣지 않았습니다</t>
    </r>
    <r>
      <rPr>
        <sz val="11"/>
        <rFont val="Calibri"/>
        <family val="0"/>
        <charset val="1"/>
      </rPr>
      <t xml:space="preserve">.</t>
    </r>
  </si>
  <si>
    <t xml:space="preserve">PARTIAL_KEEP</t>
  </si>
  <si>
    <r>
      <rPr>
        <sz val="11"/>
        <rFont val="Noto Sans CJK SC"/>
        <family val="2"/>
      </rPr>
      <t xml:space="preserve">기존에 일부 공식 값은 확보했지만 핵심 누락 필드가 남아 있어 </t>
    </r>
    <r>
      <rPr>
        <sz val="11"/>
        <rFont val="Calibri"/>
        <family val="0"/>
        <charset val="1"/>
      </rPr>
      <t xml:space="preserve">PARTIAL </t>
    </r>
    <r>
      <rPr>
        <sz val="11"/>
        <rFont val="Noto Sans CJK SC"/>
        <family val="2"/>
      </rPr>
      <t xml:space="preserve">상태를 유지합니다</t>
    </r>
    <r>
      <rPr>
        <sz val="11"/>
        <rFont val="Calibri"/>
        <family val="0"/>
        <charset val="1"/>
      </rPr>
      <t xml:space="preserve">.</t>
    </r>
  </si>
  <si>
    <t xml:space="preserve">NEW_PARTIAL</t>
  </si>
  <si>
    <r>
      <rPr>
        <sz val="11"/>
        <rFont val="Noto Sans CJK SC"/>
        <family val="2"/>
      </rPr>
      <t xml:space="preserve">이번 재검증에서 새 공식 근거를 찾아 </t>
    </r>
    <r>
      <rPr>
        <sz val="11"/>
        <rFont val="Calibri"/>
        <family val="0"/>
        <charset val="1"/>
      </rPr>
      <t xml:space="preserve">OPEN</t>
    </r>
    <r>
      <rPr>
        <sz val="11"/>
        <rFont val="Noto Sans CJK SC"/>
        <family val="2"/>
      </rPr>
      <t xml:space="preserve">에서 일부 확인 상태로 개선됐지만 전체 절차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값은 아직 미확인입니다</t>
    </r>
    <r>
      <rPr>
        <sz val="11"/>
        <rFont val="Calibri"/>
        <family val="0"/>
        <charset val="1"/>
      </rPr>
      <t xml:space="preserve">.</t>
    </r>
  </si>
  <si>
    <t xml:space="preserve">SUPPORTING_ONLY</t>
  </si>
  <si>
    <r>
      <rPr>
        <sz val="11"/>
        <rFont val="Noto Sans CJK SC"/>
        <family val="2"/>
      </rPr>
      <t xml:space="preserve">관련 공식 공고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자료는 찾았지만 사용자가 필요한 현재값을 직접 증명하지 못해 보조근거로만 기록합니다</t>
    </r>
    <r>
      <rPr>
        <sz val="11"/>
        <rFont val="Calibri"/>
        <family val="0"/>
        <charset val="1"/>
      </rPr>
      <t xml:space="preserve">.</t>
    </r>
  </si>
  <si>
    <r>
      <rPr>
        <b val="true"/>
        <sz val="11"/>
        <rFont val="Calibri"/>
        <family val="0"/>
        <charset val="1"/>
      </rPr>
      <t xml:space="preserve">RAG </t>
    </r>
    <r>
      <rPr>
        <b val="true"/>
        <sz val="11"/>
        <rFont val="Noto Sans CJK SC"/>
        <family val="2"/>
      </rPr>
      <t xml:space="preserve">사용 원칙</t>
    </r>
  </si>
  <si>
    <r>
      <rPr>
        <sz val="11"/>
        <rFont val="Calibri"/>
        <family val="0"/>
        <charset val="1"/>
      </rPr>
      <t xml:space="preserve">Backlog</t>
    </r>
    <r>
      <rPr>
        <sz val="11"/>
        <rFont val="Noto Sans CJK SC"/>
        <family val="2"/>
      </rPr>
      <t xml:space="preserve">의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여전히 못 찾은 자료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는 확정 사실로 답변하지 않습니다</t>
    </r>
    <r>
      <rPr>
        <sz val="11"/>
        <rFont val="Calibri"/>
        <family val="0"/>
        <charset val="1"/>
      </rPr>
      <t xml:space="preserve">. PARTIAL</t>
    </r>
    <r>
      <rPr>
        <sz val="11"/>
        <rFont val="Noto Sans CJK SC"/>
        <family val="2"/>
      </rPr>
      <t xml:space="preserve">은 확인된 범위만 답하고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나머지는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공식 확인 불가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로 안내합니다</t>
    </r>
    <r>
      <rPr>
        <sz val="11"/>
        <rFont val="Calibri"/>
        <family val="0"/>
        <charset val="1"/>
      </rPr>
      <t xml:space="preserve">.</t>
    </r>
  </si>
  <si>
    <t xml:space="preserve">주의사항</t>
  </si>
  <si>
    <r>
      <rPr>
        <b val="true"/>
        <sz val="11"/>
        <rFont val="Noto Sans CJK SC"/>
        <family val="2"/>
      </rPr>
      <t xml:space="preserve">좌석 시야</t>
    </r>
    <r>
      <rPr>
        <b val="true"/>
        <sz val="11"/>
        <rFont val="Calibri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지붕</t>
    </r>
  </si>
  <si>
    <r>
      <rPr>
        <sz val="11"/>
        <rFont val="Noto Sans CJK SC"/>
        <family val="2"/>
      </rPr>
      <t xml:space="preserve">공식 좌석도</t>
    </r>
    <r>
      <rPr>
        <sz val="11"/>
        <rFont val="Calibri"/>
        <family val="0"/>
        <charset val="1"/>
      </rPr>
      <t xml:space="preserve">·VR</t>
    </r>
    <r>
      <rPr>
        <sz val="11"/>
        <rFont val="Noto Sans CJK SC"/>
        <family val="2"/>
      </rPr>
      <t xml:space="preserve">을 사람이 수동 판독해 파생값을 만들 수는 있지만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공식 문서가 직접 명시한 값과는 구분해야 합니다</t>
    </r>
    <r>
      <rPr>
        <sz val="11"/>
        <rFont val="Calibri"/>
        <family val="0"/>
        <charset val="1"/>
      </rPr>
      <t xml:space="preserve">.</t>
    </r>
  </si>
  <si>
    <t xml:space="preserve">재입장</t>
  </si>
  <si>
    <r>
      <rPr>
        <sz val="11"/>
        <rFont val="Noto Sans CJK SC"/>
        <family val="2"/>
      </rPr>
      <t xml:space="preserve">고척은 재입장 운영 자체만 공식 확인됐고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다른 구장은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현재 명시 규정을 못 찾았습니다</t>
    </r>
    <r>
      <rPr>
        <sz val="11"/>
        <rFont val="Calibri"/>
        <family val="0"/>
        <charset val="1"/>
      </rPr>
      <t xml:space="preserve">.</t>
    </r>
  </si>
  <si>
    <t xml:space="preserve">입찰공고</t>
  </si>
  <si>
    <r>
      <rPr>
        <sz val="11"/>
        <rFont val="Noto Sans CJK SC"/>
        <family val="2"/>
      </rPr>
      <t xml:space="preserve">운영사업 입찰공고는 실제 최종 입점업체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영업시간을 의미하지 않습니다</t>
    </r>
    <r>
      <rPr>
        <sz val="11"/>
        <rFont val="Calibri"/>
        <family val="0"/>
        <charset val="1"/>
      </rPr>
      <t xml:space="preserve">.</t>
    </r>
  </si>
  <si>
    <t xml:space="preserve">과거 공식자료</t>
  </si>
  <si>
    <r>
      <rPr>
        <sz val="11"/>
        <rFont val="Noto Sans CJK SC"/>
        <family val="2"/>
      </rPr>
      <t xml:space="preserve">과거 수치가 있어도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현재값을 대신할 수 없으면 </t>
    </r>
    <r>
      <rPr>
        <sz val="11"/>
        <rFont val="Calibri"/>
        <family val="0"/>
        <charset val="1"/>
      </rPr>
      <t xml:space="preserve">RECHECK/Backlog</t>
    </r>
    <r>
      <rPr>
        <sz val="11"/>
        <rFont val="Noto Sans CJK SC"/>
        <family val="2"/>
      </rPr>
      <t xml:space="preserve">로 유지합니다</t>
    </r>
    <r>
      <rPr>
        <sz val="11"/>
        <rFont val="Calibri"/>
        <family val="0"/>
        <charset val="1"/>
      </rPr>
      <t xml:space="preserve">.</t>
    </r>
  </si>
  <si>
    <t xml:space="preserve">다음 업데이트</t>
  </si>
  <si>
    <r>
      <rPr>
        <sz val="11"/>
        <rFont val="Noto Sans CJK SC"/>
        <family val="2"/>
      </rPr>
      <t xml:space="preserve">시즌 중 예매 좌석 선택 화면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경기일 운영 공지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구단 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시설 운영기관 </t>
    </r>
    <r>
      <rPr>
        <sz val="11"/>
        <rFont val="Calibri"/>
        <family val="0"/>
        <charset val="1"/>
      </rPr>
      <t xml:space="preserve">FAQ</t>
    </r>
    <r>
      <rPr>
        <sz val="11"/>
        <rFont val="Noto Sans CJK SC"/>
        <family val="2"/>
      </rPr>
      <t xml:space="preserve">가 갱신될 때 우선 재확인합니다</t>
    </r>
    <r>
      <rPr>
        <sz val="11"/>
        <rFont val="Calibri"/>
        <family val="0"/>
        <charset val="1"/>
      </rPr>
      <t xml:space="preserve">.</t>
    </r>
  </si>
  <si>
    <r>
      <rPr>
        <b val="true"/>
        <sz val="11"/>
        <rFont val="Calibri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차 재검증 상태값</t>
    </r>
  </si>
  <si>
    <r>
      <rPr>
        <sz val="11"/>
        <rFont val="Calibri"/>
        <family val="0"/>
        <charset val="1"/>
      </rPr>
      <t xml:space="preserve">2026-09-05 </t>
    </r>
    <r>
      <rPr>
        <sz val="11"/>
        <rFont val="Noto Sans CJK SC"/>
        <family val="2"/>
      </rPr>
      <t xml:space="preserve">웹 재조사로 도입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기존 </t>
    </r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단계</t>
    </r>
    <r>
      <rPr>
        <sz val="11"/>
        <rFont val="Calibri"/>
        <family val="0"/>
        <charset val="1"/>
      </rPr>
      <t xml:space="preserve">(NOT_FOUND/PARTIAL_KEEP/NEW_PARTIAL/SUPPORTING_ONLY)</t>
    </r>
    <r>
      <rPr>
        <sz val="11"/>
        <rFont val="Noto Sans CJK SC"/>
        <family val="2"/>
      </rPr>
      <t xml:space="preserve">는 이력으로 보존하고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각 행의 최종 판정은 아래 값으로 갱신합니다</t>
    </r>
    <r>
      <rPr>
        <sz val="11"/>
        <rFont val="Calibri"/>
        <family val="0"/>
        <charset val="1"/>
      </rPr>
      <t xml:space="preserve">.</t>
    </r>
  </si>
  <si>
    <t xml:space="preserve">RESOLVABLE</t>
  </si>
  <si>
    <r>
      <rPr>
        <sz val="11"/>
        <rFont val="Noto Sans CJK SC"/>
        <family val="2"/>
      </rPr>
      <t xml:space="preserve">정부 표준데이터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지자체 공개데이터에 해당 필드가 표준 항목으로 존재함을 확인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자료를 내려받아 대조하면 채울 수 있는 항목입니다</t>
    </r>
    <r>
      <rPr>
        <sz val="11"/>
        <rFont val="Calibri"/>
        <family val="0"/>
        <charset val="1"/>
      </rPr>
      <t xml:space="preserve">.</t>
    </r>
  </si>
  <si>
    <t xml:space="preserve">PARTIAL_FILLED</t>
  </si>
  <si>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차 재검증에서 공식 근거로 일부 값을 실제로 확보했습니다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잔여 필드는 같은 행의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그래도 아직 못 찾은 것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에 남습니다</t>
    </r>
    <r>
      <rPr>
        <sz val="11"/>
        <rFont val="Calibri"/>
        <family val="0"/>
        <charset val="1"/>
      </rPr>
      <t xml:space="preserve">.</t>
    </r>
  </si>
  <si>
    <t xml:space="preserve">NOT_PUBLIC</t>
  </si>
  <si>
    <r>
      <rPr>
        <sz val="11"/>
        <rFont val="Noto Sans CJK SC"/>
        <family val="2"/>
      </rPr>
      <t xml:space="preserve">찾지 못한 것이 아니라 공개 자체가 존재하지 않음이 확인된 항목입니다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문의 판매 구조 등</t>
    </r>
    <r>
      <rPr>
        <sz val="11"/>
        <rFont val="Calibri"/>
        <family val="0"/>
        <charset val="1"/>
      </rPr>
      <t xml:space="preserve">). NOT_FOUND</t>
    </r>
    <r>
      <rPr>
        <sz val="11"/>
        <rFont val="Noto Sans CJK SC"/>
        <family val="2"/>
      </rPr>
      <t xml:space="preserve">와 구분해 종결 처리합니다</t>
    </r>
    <r>
      <rPr>
        <sz val="11"/>
        <rFont val="Calibri"/>
        <family val="0"/>
        <charset val="1"/>
      </rPr>
      <t xml:space="preserve">.</t>
    </r>
  </si>
  <si>
    <t xml:space="preserve">STRUCTURAL_GAP</t>
  </si>
  <si>
    <r>
      <rPr>
        <sz val="11"/>
        <rFont val="Noto Sans CJK SC"/>
        <family val="2"/>
      </rPr>
      <t xml:space="preserve">특정 구장의 누락이 아니라 리그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구단 공통으로 발행되지 않는 필드입니다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개별 항목으로 추적하지 않고 구조적 결손 분류로 관리합니다</t>
    </r>
    <r>
      <rPr>
        <sz val="11"/>
        <rFont val="Calibri"/>
        <family val="0"/>
        <charset val="1"/>
      </rPr>
      <t xml:space="preserve">.</t>
    </r>
  </si>
  <si>
    <t xml:space="preserve">DERIVED_ONLY</t>
  </si>
  <si>
    <r>
      <rPr>
        <sz val="11"/>
        <rFont val="Noto Sans CJK SC"/>
        <family val="2"/>
      </rPr>
      <t xml:space="preserve">공식 문서가 아닌 예매 화면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좌석도 이미지 판독으로만 확인 가능한 항목입니다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확보하더라도 </t>
    </r>
    <r>
      <rPr>
        <sz val="11"/>
        <rFont val="Calibri"/>
        <family val="0"/>
        <charset val="1"/>
      </rPr>
      <t xml:space="preserve">evidence_type</t>
    </r>
    <r>
      <rPr>
        <sz val="11"/>
        <rFont val="Noto Sans CJK SC"/>
        <family val="2"/>
      </rPr>
      <t xml:space="preserve">을 분리해 저장해야 합니다</t>
    </r>
    <r>
      <rPr>
        <sz val="11"/>
        <rFont val="Calibri"/>
        <family val="0"/>
        <charset val="1"/>
      </rPr>
      <t xml:space="preserve">.</t>
    </r>
  </si>
  <si>
    <r>
      <rPr>
        <b val="true"/>
        <sz val="11"/>
        <rFont val="Calibri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차 핵심 발견</t>
    </r>
  </si>
  <si>
    <r>
      <rPr>
        <sz val="11"/>
        <rFont val="Noto Sans CJK SC"/>
        <family val="2"/>
      </rPr>
      <t xml:space="preserve">구단 공식 자료가 텍스트가 아니라 이미지</t>
    </r>
    <r>
      <rPr>
        <sz val="11"/>
        <rFont val="Calibri"/>
        <family val="0"/>
        <charset val="1"/>
      </rPr>
      <t xml:space="preserve">·JavaScript </t>
    </r>
    <r>
      <rPr>
        <sz val="11"/>
        <rFont val="Noto Sans CJK SC"/>
        <family val="2"/>
      </rPr>
      <t xml:space="preserve">렌더링으로만 발행되는 구조가 광범위하게 확인됐습니다</t>
    </r>
    <r>
      <rPr>
        <sz val="11"/>
        <rFont val="Calibri"/>
        <family val="0"/>
        <charset val="1"/>
      </rPr>
      <t xml:space="preserve">. KBO </t>
    </r>
    <r>
      <rPr>
        <sz val="11"/>
        <rFont val="Noto Sans CJK SC"/>
        <family val="2"/>
      </rPr>
      <t xml:space="preserve">경기장 안전가이드라인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삼성 입장요금표</t>
    </r>
    <r>
      <rPr>
        <sz val="11"/>
        <rFont val="Calibri"/>
        <family val="0"/>
        <charset val="1"/>
      </rPr>
      <t xml:space="preserve">, SSG </t>
    </r>
    <r>
      <rPr>
        <sz val="11"/>
        <rFont val="Noto Sans CJK SC"/>
        <family val="2"/>
      </rPr>
      <t xml:space="preserve">좌석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가격 안내</t>
    </r>
    <r>
      <rPr>
        <sz val="11"/>
        <rFont val="Calibri"/>
        <family val="0"/>
        <charset val="1"/>
      </rPr>
      <t xml:space="preserve">, KT </t>
    </r>
    <r>
      <rPr>
        <sz val="11"/>
        <rFont val="Noto Sans CJK SC"/>
        <family val="2"/>
      </rPr>
      <t xml:space="preserve">입장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매장 안내</t>
    </r>
    <r>
      <rPr>
        <sz val="11"/>
        <rFont val="Calibri"/>
        <family val="0"/>
        <charset val="1"/>
      </rPr>
      <t xml:space="preserve">, NC </t>
    </r>
    <r>
      <rPr>
        <sz val="11"/>
        <rFont val="Noto Sans CJK SC"/>
        <family val="2"/>
      </rPr>
      <t xml:space="preserve">예매 안내</t>
    </r>
    <r>
      <rPr>
        <sz val="11"/>
        <rFont val="Calibri"/>
        <family val="0"/>
        <charset val="1"/>
      </rPr>
      <t xml:space="preserve">, KIA </t>
    </r>
    <r>
      <rPr>
        <sz val="11"/>
        <rFont val="Noto Sans CJK SC"/>
        <family val="2"/>
      </rPr>
      <t xml:space="preserve">시설안내가 모두 해당합니다</t>
    </r>
    <r>
      <rPr>
        <sz val="11"/>
        <rFont val="Calibri"/>
        <family val="0"/>
        <charset val="1"/>
      </rPr>
      <t xml:space="preserve">.</t>
    </r>
  </si>
  <si>
    <r>
      <rPr>
        <b val="true"/>
        <sz val="11"/>
        <rFont val="Calibri"/>
        <family val="0"/>
        <charset val="1"/>
      </rPr>
      <t xml:space="preserve">RAG </t>
    </r>
    <r>
      <rPr>
        <b val="true"/>
        <sz val="11"/>
        <rFont val="Noto Sans CJK SC"/>
        <family val="2"/>
      </rPr>
      <t xml:space="preserve">사용 원칙</t>
    </r>
    <r>
      <rPr>
        <b val="true"/>
        <sz val="11"/>
        <rFont val="Calibri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유지</t>
    </r>
    <r>
      <rPr>
        <b val="true"/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</si>
  <si>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STRUCTURAL_GAP·NOT_PUBLIC</t>
    </r>
    <r>
      <rPr>
        <sz val="11"/>
        <rFont val="Noto Sans CJK SC"/>
        <family val="2"/>
      </rPr>
      <t xml:space="preserve">은 확정 사실로 답변하지 않고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공식 확인 불가</t>
    </r>
    <r>
      <rPr>
        <sz val="11"/>
        <rFont val="Calibri"/>
        <family val="0"/>
        <charset val="1"/>
      </rPr>
      <t xml:space="preserve">' </t>
    </r>
    <r>
      <rPr>
        <sz val="11"/>
        <rFont val="Noto Sans CJK SC"/>
        <family val="2"/>
      </rPr>
      <t xml:space="preserve">또는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공식 비공개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로 안내합니다</t>
    </r>
    <r>
      <rPr>
        <sz val="11"/>
        <rFont val="Calibri"/>
        <family val="0"/>
        <charset val="1"/>
      </rPr>
      <t xml:space="preserve">. PARTIAL_FILLED</t>
    </r>
    <r>
      <rPr>
        <sz val="11"/>
        <rFont val="Noto Sans CJK SC"/>
        <family val="2"/>
      </rPr>
      <t xml:space="preserve">는 확보된 범위만 답변합니다</t>
    </r>
    <r>
      <rPr>
        <sz val="11"/>
        <rFont val="Calibri"/>
        <family val="0"/>
        <charset val="1"/>
      </rPr>
      <t xml:space="preserve">.</t>
    </r>
  </si>
  <si>
    <r>
      <rPr>
        <b val="true"/>
        <sz val="16"/>
        <color rgb="FFFFFFFF"/>
        <rFont val="Calibri"/>
        <family val="0"/>
        <charset val="1"/>
      </rPr>
      <t xml:space="preserve">Backlog </t>
    </r>
    <r>
      <rPr>
        <b val="true"/>
        <sz val="16"/>
        <color rgb="FFFFFFFF"/>
        <rFont val="Noto Sans CJK SC"/>
        <family val="2"/>
      </rPr>
      <t xml:space="preserve">재검증 요약 — </t>
    </r>
    <r>
      <rPr>
        <b val="true"/>
        <sz val="16"/>
        <color rgb="FFFFFFFF"/>
        <rFont val="Calibri"/>
        <family val="0"/>
        <charset val="1"/>
      </rPr>
      <t xml:space="preserve">3</t>
    </r>
    <r>
      <rPr>
        <b val="true"/>
        <sz val="16"/>
        <color rgb="FFFFFFFF"/>
        <rFont val="Noto Sans CJK SC"/>
        <family val="2"/>
      </rPr>
      <t xml:space="preserve">차</t>
    </r>
    <r>
      <rPr>
        <b val="true"/>
        <sz val="16"/>
        <color rgb="FFFFFFFF"/>
        <rFont val="Calibri"/>
        <family val="0"/>
        <charset val="1"/>
      </rPr>
      <t xml:space="preserve">(2026-09-05) </t>
    </r>
    <r>
      <rPr>
        <b val="true"/>
        <sz val="16"/>
        <color rgb="FFFFFFFF"/>
        <rFont val="Noto Sans CJK SC"/>
        <family val="2"/>
      </rPr>
      <t xml:space="preserve">반영</t>
    </r>
  </si>
  <si>
    <t xml:space="preserve">구분</t>
  </si>
  <si>
    <r>
      <rPr>
        <b val="true"/>
        <sz val="11"/>
        <color rgb="FFFFFFFF"/>
        <rFont val="Noto Sans CJK SC"/>
        <family val="2"/>
      </rPr>
      <t xml:space="preserve">총 </t>
    </r>
    <r>
      <rPr>
        <b val="true"/>
        <sz val="11"/>
        <color rgb="FFFFFFFF"/>
        <rFont val="Calibri"/>
        <family val="0"/>
        <charset val="1"/>
      </rPr>
      <t xml:space="preserve">Backlog</t>
    </r>
  </si>
  <si>
    <r>
      <rPr>
        <sz val="11"/>
        <rFont val="Noto Sans CJK SC"/>
        <family val="2"/>
      </rPr>
      <t xml:space="preserve">파일</t>
    </r>
    <r>
      <rPr>
        <sz val="11"/>
        <rFont val="Calibri"/>
        <family val="0"/>
        <charset val="1"/>
      </rPr>
      <t xml:space="preserve">1 · </t>
    </r>
    <r>
      <rPr>
        <sz val="11"/>
        <rFont val="Noto Sans CJK SC"/>
        <family val="2"/>
      </rPr>
      <t xml:space="preserve">구장정보</t>
    </r>
  </si>
  <si>
    <r>
      <rPr>
        <sz val="11"/>
        <rFont val="Noto Sans CJK SC"/>
        <family val="2"/>
      </rPr>
      <t xml:space="preserve">파일</t>
    </r>
    <r>
      <rPr>
        <sz val="11"/>
        <rFont val="Calibri"/>
        <family val="0"/>
        <charset val="1"/>
      </rPr>
      <t xml:space="preserve">2 · F&amp;B/</t>
    </r>
    <r>
      <rPr>
        <sz val="11"/>
        <rFont val="Noto Sans CJK SC"/>
        <family val="2"/>
      </rPr>
      <t xml:space="preserve">콘텐츠</t>
    </r>
  </si>
  <si>
    <t xml:space="preserve">합계</t>
  </si>
  <si>
    <t xml:space="preserve">핵심 해석</t>
  </si>
  <si>
    <r>
      <rPr>
        <sz val="11"/>
        <rFont val="Noto Sans CJK SC"/>
        <family val="2"/>
      </rPr>
      <t xml:space="preserve">완전 해결된 </t>
    </r>
    <r>
      <rPr>
        <sz val="11"/>
        <rFont val="Calibri"/>
        <family val="0"/>
        <charset val="1"/>
      </rPr>
      <t xml:space="preserve">Backlog</t>
    </r>
    <r>
      <rPr>
        <sz val="11"/>
        <rFont val="Noto Sans CJK SC"/>
        <family val="2"/>
      </rPr>
      <t xml:space="preserve">는 없지만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고척 재입장은 이번에 </t>
    </r>
    <r>
      <rPr>
        <sz val="11"/>
        <rFont val="Calibri"/>
        <family val="0"/>
        <charset val="1"/>
      </rPr>
      <t xml:space="preserve">NEW_PARTIAL</t>
    </r>
    <r>
      <rPr>
        <sz val="11"/>
        <rFont val="Noto Sans CJK SC"/>
        <family val="2"/>
      </rPr>
      <t xml:space="preserve">로 개선됐고 삼성 주차</t>
    </r>
    <r>
      <rPr>
        <sz val="11"/>
        <rFont val="Calibri"/>
        <family val="0"/>
        <charset val="1"/>
      </rPr>
      <t xml:space="preserve">·KT/Samsung F&amp;B</t>
    </r>
    <r>
      <rPr>
        <sz val="11"/>
        <rFont val="Noto Sans CJK SC"/>
        <family val="2"/>
      </rPr>
      <t xml:space="preserve">는 보조 공식근거가 추가됐습니다</t>
    </r>
    <r>
      <rPr>
        <sz val="11"/>
        <rFont val="Calibri"/>
        <family val="0"/>
        <charset val="1"/>
      </rPr>
      <t xml:space="preserve">.</t>
    </r>
  </si>
  <si>
    <r>
      <rPr>
        <b val="true"/>
        <sz val="12"/>
        <rFont val="Calibri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차 재검증</t>
    </r>
    <r>
      <rPr>
        <b val="true"/>
        <sz val="12"/>
        <rFont val="Calibri"/>
        <family val="0"/>
        <charset val="1"/>
      </rPr>
      <t xml:space="preserve">(2026-09-05) </t>
    </r>
    <r>
      <rPr>
        <b val="true"/>
        <sz val="12"/>
        <rFont val="Noto Sans CJK SC"/>
        <family val="2"/>
      </rPr>
      <t xml:space="preserve">집계 — 최종 판정 기준</t>
    </r>
  </si>
  <si>
    <r>
      <rPr>
        <b val="true"/>
        <sz val="11"/>
        <rFont val="Calibri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차 핵심 해석</t>
    </r>
  </si>
  <si>
    <r>
      <rPr>
        <sz val="11"/>
        <rFont val="Calibri"/>
        <family val="0"/>
        <charset val="1"/>
      </rPr>
      <t xml:space="preserve">35</t>
    </r>
    <r>
      <rPr>
        <sz val="11"/>
        <rFont val="Noto Sans CJK SC"/>
        <family val="2"/>
      </rPr>
      <t xml:space="preserve">건 중 </t>
    </r>
    <r>
      <rPr>
        <sz val="11"/>
        <rFont val="Calibri"/>
        <family val="0"/>
        <charset val="1"/>
      </rPr>
      <t xml:space="preserve">30</t>
    </r>
    <r>
      <rPr>
        <sz val="11"/>
        <rFont val="Noto Sans CJK SC"/>
        <family val="2"/>
      </rPr>
      <t xml:space="preserve">건이 </t>
    </r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개의 구조적 결손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재입장 </t>
    </r>
    <r>
      <rPr>
        <sz val="11"/>
        <rFont val="Calibri"/>
        <family val="0"/>
        <charset val="1"/>
      </rPr>
      <t xml:space="preserve">10 · </t>
    </r>
    <r>
      <rPr>
        <sz val="11"/>
        <rFont val="Noto Sans CJK SC"/>
        <family val="2"/>
      </rPr>
      <t xml:space="preserve">좌석 시야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지붕 </t>
    </r>
    <r>
      <rPr>
        <sz val="11"/>
        <rFont val="Calibri"/>
        <family val="0"/>
        <charset val="1"/>
      </rPr>
      <t xml:space="preserve">9 · </t>
    </r>
    <r>
      <rPr>
        <sz val="11"/>
        <rFont val="Noto Sans CJK SC"/>
        <family val="2"/>
      </rPr>
      <t xml:space="preserve">매장별 운영시간 </t>
    </r>
    <r>
      <rPr>
        <sz val="11"/>
        <rFont val="Calibri"/>
        <family val="0"/>
        <charset val="1"/>
      </rPr>
      <t xml:space="preserve">9 · </t>
    </r>
    <r>
      <rPr>
        <sz val="11"/>
        <rFont val="Noto Sans CJK SC"/>
        <family val="2"/>
      </rPr>
      <t xml:space="preserve">비공개 가격 </t>
    </r>
    <r>
      <rPr>
        <sz val="11"/>
        <rFont val="Calibri"/>
        <family val="0"/>
        <charset val="1"/>
      </rPr>
      <t xml:space="preserve">2)</t>
    </r>
    <r>
      <rPr>
        <sz val="11"/>
        <rFont val="Noto Sans CJK SC"/>
        <family val="2"/>
      </rPr>
      <t xml:space="preserve">에 집중되며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이는 개별 수집 실패가 아니라 리그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구단이 해당 필드를 텍스트로 발행하지 않는 구조에서 비롯됩니다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실제로 노력하면 닫히는 항목은 주차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버스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좌석도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건뿐이고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이 중 주차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건은 정부 표준데이터에서 해결 경로를 확인했습니다</t>
    </r>
    <r>
      <rPr>
        <sz val="11"/>
        <rFont val="Calibri"/>
        <family val="0"/>
        <charset val="1"/>
      </rPr>
      <t xml:space="preserve">. 3</t>
    </r>
    <r>
      <rPr>
        <sz val="11"/>
        <rFont val="Noto Sans CJK SC"/>
        <family val="2"/>
      </rPr>
      <t xml:space="preserve">차에서 </t>
    </r>
    <r>
      <rPr>
        <sz val="11"/>
        <rFont val="Calibri"/>
        <family val="0"/>
        <charset val="1"/>
      </rPr>
      <t xml:space="preserve">6</t>
    </r>
    <r>
      <rPr>
        <sz val="11"/>
        <rFont val="Noto Sans CJK SC"/>
        <family val="2"/>
      </rPr>
      <t xml:space="preserve">건에 공식 근거를 새로 붙였습니다</t>
    </r>
    <r>
      <rPr>
        <sz val="11"/>
        <rFont val="Calibri"/>
        <family val="0"/>
        <charset val="1"/>
      </rPr>
      <t xml:space="preserve">.</t>
    </r>
  </si>
  <si>
    <r>
      <rPr>
        <b val="true"/>
        <sz val="16"/>
        <color rgb="FFFFFFFF"/>
        <rFont val="Noto Sans CJK SC"/>
        <family val="2"/>
      </rPr>
      <t xml:space="preserve">구조적 결손 분류 — </t>
    </r>
    <r>
      <rPr>
        <b val="true"/>
        <sz val="16"/>
        <color rgb="FFFFFFFF"/>
        <rFont val="Calibri"/>
        <family val="0"/>
        <charset val="1"/>
      </rPr>
      <t xml:space="preserve">3</t>
    </r>
    <r>
      <rPr>
        <b val="true"/>
        <sz val="16"/>
        <color rgb="FFFFFFFF"/>
        <rFont val="Noto Sans CJK SC"/>
        <family val="2"/>
      </rPr>
      <t xml:space="preserve">차 재검증 기준</t>
    </r>
  </si>
  <si>
    <t xml:space="preserve">분류코드</t>
  </si>
  <si>
    <t xml:space="preserve">분류명</t>
  </si>
  <si>
    <t xml:space="preserve">해당 건수</t>
  </si>
  <si>
    <t xml:space="preserve">포함 항목</t>
  </si>
  <si>
    <t xml:space="preserve">왜 구조적 결손인가</t>
  </si>
  <si>
    <t xml:space="preserve">권고 조치</t>
  </si>
  <si>
    <t xml:space="preserve">STRUCT_REENTRY</t>
  </si>
  <si>
    <t xml:space="preserve">재입장 규정</t>
  </si>
  <si>
    <r>
      <rPr>
        <sz val="11"/>
        <rFont val="Noto Sans CJK SC"/>
        <family val="2"/>
      </rPr>
      <t xml:space="preserve">파일</t>
    </r>
    <r>
      <rPr>
        <sz val="11"/>
        <rFont val="Calibri"/>
        <family val="0"/>
        <charset val="1"/>
      </rPr>
      <t xml:space="preserve">1 No.17~26</t>
    </r>
  </si>
  <si>
    <r>
      <rPr>
        <sz val="11"/>
        <rFont val="Calibri"/>
        <family val="0"/>
        <charset val="1"/>
      </rPr>
      <t xml:space="preserve">KBO </t>
    </r>
    <r>
      <rPr>
        <sz val="11"/>
        <rFont val="Noto Sans CJK SC"/>
        <family val="2"/>
      </rPr>
      <t xml:space="preserve">경기장 안전가이드라인 페이지조차 텍스트가 아닌 이미지 그래픽으로만 게시되며 재입장 조항이 없음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한화 공식 </t>
    </r>
    <r>
      <rPr>
        <sz val="11"/>
        <rFont val="Calibri"/>
        <family val="0"/>
        <charset val="1"/>
      </rPr>
      <t xml:space="preserve">FAQ </t>
    </r>
    <r>
      <rPr>
        <sz val="11"/>
        <rFont val="Noto Sans CJK SC"/>
        <family val="2"/>
      </rPr>
      <t xml:space="preserve">전 항목</t>
    </r>
    <r>
      <rPr>
        <sz val="11"/>
        <rFont val="Calibri"/>
        <family val="0"/>
        <charset val="1"/>
      </rPr>
      <t xml:space="preserve">, KT </t>
    </r>
    <r>
      <rPr>
        <sz val="11"/>
        <rFont val="Noto Sans CJK SC"/>
        <family val="2"/>
      </rPr>
      <t xml:space="preserve">입장안내</t>
    </r>
    <r>
      <rPr>
        <sz val="11"/>
        <rFont val="Calibri"/>
        <family val="0"/>
        <charset val="1"/>
      </rPr>
      <t xml:space="preserve">, SSG </t>
    </r>
    <r>
      <rPr>
        <sz val="11"/>
        <rFont val="Noto Sans CJK SC"/>
        <family val="2"/>
      </rPr>
      <t xml:space="preserve">티켓</t>
    </r>
    <r>
      <rPr>
        <sz val="11"/>
        <rFont val="Calibri"/>
        <family val="0"/>
        <charset val="1"/>
      </rPr>
      <t xml:space="preserve">, LG·</t>
    </r>
    <r>
      <rPr>
        <sz val="11"/>
        <rFont val="Noto Sans CJK SC"/>
        <family val="2"/>
      </rPr>
      <t xml:space="preserve">키움 예매안내에도 문구 없음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고척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서울시설공단 </t>
    </r>
    <r>
      <rPr>
        <sz val="11"/>
        <rFont val="Calibri"/>
        <family val="0"/>
        <charset val="1"/>
      </rPr>
      <t xml:space="preserve">FAQ)</t>
    </r>
    <r>
      <rPr>
        <sz val="11"/>
        <rFont val="Noto Sans CJK SC"/>
        <family val="2"/>
      </rPr>
      <t xml:space="preserve">만 재입장 운영 사실이 확인되는 유일한 예외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</si>
  <si>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필드를 스키마에서 제외하거나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공식 미발행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을 정식 값으로 인정</t>
    </r>
    <r>
      <rPr>
        <sz val="11"/>
        <rFont val="Calibri"/>
        <family val="0"/>
        <charset val="1"/>
      </rPr>
      <t xml:space="preserve">. RAG</t>
    </r>
    <r>
      <rPr>
        <sz val="11"/>
        <rFont val="Noto Sans CJK SC"/>
        <family val="2"/>
      </rPr>
      <t xml:space="preserve">는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구단별 현장 운영 사항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으로 안내</t>
    </r>
    <r>
      <rPr>
        <sz val="11"/>
        <rFont val="Calibri"/>
        <family val="0"/>
        <charset val="1"/>
      </rPr>
      <t xml:space="preserve">.</t>
    </r>
  </si>
  <si>
    <t xml:space="preserve">STRUCT_SEATVIEW</t>
  </si>
  <si>
    <r>
      <rPr>
        <sz val="11"/>
        <rFont val="Noto Sans CJK SC"/>
        <family val="2"/>
      </rPr>
      <t xml:space="preserve">좌석 시야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지붕</t>
    </r>
  </si>
  <si>
    <r>
      <rPr>
        <sz val="11"/>
        <rFont val="Noto Sans CJK SC"/>
        <family val="2"/>
      </rPr>
      <t xml:space="preserve">파일</t>
    </r>
    <r>
      <rPr>
        <sz val="11"/>
        <rFont val="Calibri"/>
        <family val="0"/>
        <charset val="1"/>
      </rPr>
      <t xml:space="preserve">1 No.8~16</t>
    </r>
  </si>
  <si>
    <r>
      <rPr>
        <sz val="11"/>
        <rFont val="Noto Sans CJK SC"/>
        <family val="2"/>
      </rPr>
      <t xml:space="preserve">좌석도와 </t>
    </r>
    <r>
      <rPr>
        <sz val="11"/>
        <rFont val="Calibri"/>
        <family val="0"/>
        <charset val="1"/>
      </rPr>
      <t xml:space="preserve">360</t>
    </r>
    <r>
      <rPr>
        <sz val="11"/>
        <rFont val="Noto Sans CJK SC"/>
        <family val="2"/>
      </rPr>
      <t xml:space="preserve">도 </t>
    </r>
    <r>
      <rPr>
        <sz val="11"/>
        <rFont val="Calibri"/>
        <family val="0"/>
        <charset val="1"/>
      </rPr>
      <t xml:space="preserve">VR</t>
    </r>
    <r>
      <rPr>
        <sz val="11"/>
        <rFont val="Noto Sans CJK SC"/>
        <family val="2"/>
      </rPr>
      <t xml:space="preserve">은 존재하지만 블록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열별 지붕 차폐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실제 시야가 텍스트로 구조화되지 않음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삼성</t>
    </r>
    <r>
      <rPr>
        <sz val="11"/>
        <rFont val="Calibri"/>
        <family val="0"/>
        <charset val="1"/>
      </rPr>
      <t xml:space="preserve">·SSG·KIA·KT·NC 5</t>
    </r>
    <r>
      <rPr>
        <sz val="11"/>
        <rFont val="Noto Sans CJK SC"/>
        <family val="2"/>
      </rPr>
      <t xml:space="preserve">개 구단 공식 페이지를 직접 열람해 이미지 전용 발행 구조를 확인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</si>
  <si>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이미지</t>
    </r>
    <r>
      <rPr>
        <sz val="11"/>
        <rFont val="Calibri"/>
        <family val="0"/>
        <charset val="1"/>
      </rPr>
      <t xml:space="preserve">·VR </t>
    </r>
    <r>
      <rPr>
        <sz val="11"/>
        <rFont val="Noto Sans CJK SC"/>
        <family val="2"/>
      </rPr>
      <t xml:space="preserve">수동 판독 파생값을 쓰려면 </t>
    </r>
    <r>
      <rPr>
        <sz val="11"/>
        <rFont val="Calibri"/>
        <family val="0"/>
        <charset val="1"/>
      </rPr>
      <t xml:space="preserve">evidence_type=DERIVED</t>
    </r>
    <r>
      <rPr>
        <sz val="11"/>
        <rFont val="Noto Sans CJK SC"/>
        <family val="2"/>
      </rPr>
      <t xml:space="preserve">로 분리 저장하고 공식 명시값과 구분</t>
    </r>
    <r>
      <rPr>
        <sz val="11"/>
        <rFont val="Calibri"/>
        <family val="0"/>
        <charset val="1"/>
      </rPr>
      <t xml:space="preserve">.</t>
    </r>
  </si>
  <si>
    <t xml:space="preserve">STRUCT_FNB_HOURS</t>
  </si>
  <si>
    <t xml:space="preserve">매장별 운영시간</t>
  </si>
  <si>
    <r>
      <rPr>
        <sz val="11"/>
        <rFont val="Noto Sans CJK SC"/>
        <family val="2"/>
      </rPr>
      <t xml:space="preserve">파일</t>
    </r>
    <r>
      <rPr>
        <sz val="11"/>
        <rFont val="Calibri"/>
        <family val="0"/>
        <charset val="1"/>
      </rPr>
      <t xml:space="preserve">2 B01~B09</t>
    </r>
  </si>
  <si>
    <r>
      <rPr>
        <sz val="11"/>
        <rFont val="Calibri"/>
        <family val="0"/>
        <charset val="1"/>
      </rPr>
      <t xml:space="preserve">9</t>
    </r>
    <r>
      <rPr>
        <sz val="11"/>
        <rFont val="Noto Sans CJK SC"/>
        <family val="2"/>
      </rPr>
      <t xml:space="preserve">개 구장 전부 매장별 영업시간을 발행하지 않음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브랜드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상설 콘텐츠는 운영사 공식 자료로 부분 확보가 가능하나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대전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대구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사직에서 실제 확보</t>
    </r>
    <r>
      <rPr>
        <sz val="11"/>
        <rFont val="Calibri"/>
        <family val="0"/>
        <charset val="1"/>
      </rPr>
      <t xml:space="preserve">) </t>
    </r>
    <r>
      <rPr>
        <sz val="11"/>
        <rFont val="Noto Sans CJK SC"/>
        <family val="2"/>
      </rPr>
      <t xml:space="preserve">시간 필드만은 어느 경로에도 없음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</si>
  <si>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운영시간을 선택 항목으로 강등하고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브랜드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위치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메뉴만 </t>
    </r>
    <r>
      <rPr>
        <sz val="11"/>
        <rFont val="Calibri"/>
        <family val="0"/>
        <charset val="1"/>
      </rPr>
      <t xml:space="preserve">CONFIRMED </t>
    </r>
    <r>
      <rPr>
        <sz val="11"/>
        <rFont val="Noto Sans CJK SC"/>
        <family val="2"/>
      </rPr>
      <t xml:space="preserve">대상으로 운영</t>
    </r>
    <r>
      <rPr>
        <sz val="11"/>
        <rFont val="Calibri"/>
        <family val="0"/>
        <charset val="1"/>
      </rPr>
      <t xml:space="preserve">.</t>
    </r>
  </si>
  <si>
    <t xml:space="preserve">STRUCT_NOT_PUBLIC</t>
  </si>
  <si>
    <t xml:space="preserve">비공개 가격</t>
  </si>
  <si>
    <r>
      <rPr>
        <sz val="11"/>
        <rFont val="Noto Sans CJK SC"/>
        <family val="2"/>
      </rPr>
      <t xml:space="preserve">파일</t>
    </r>
    <r>
      <rPr>
        <sz val="11"/>
        <rFont val="Calibri"/>
        <family val="0"/>
        <charset val="1"/>
      </rPr>
      <t xml:space="preserve">1 No.1~2</t>
    </r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</si>
  <si>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스카이박스</t>
    </r>
    <r>
      <rPr>
        <sz val="11"/>
        <rFont val="Calibri"/>
        <family val="0"/>
        <charset val="1"/>
      </rPr>
      <t xml:space="preserve">·C</t>
    </r>
    <r>
      <rPr>
        <sz val="11"/>
        <rFont val="Noto Sans CJK SC"/>
        <family val="2"/>
      </rPr>
      <t xml:space="preserve">타입은 </t>
    </r>
    <r>
      <rPr>
        <sz val="11"/>
        <rFont val="Calibri"/>
        <family val="0"/>
        <charset val="1"/>
      </rPr>
      <t xml:space="preserve">1:1 </t>
    </r>
    <r>
      <rPr>
        <sz val="11"/>
        <rFont val="Noto Sans CJK SC"/>
        <family val="2"/>
      </rPr>
      <t xml:space="preserve">채팅 문의 판매 구조라 공개 정가 자체가 존재하지 않음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삼성 스윗박스는 공식 요금표 이미지 안에도 미표기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둘 다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못 찾은 것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이 아니라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공개가 없는 것</t>
    </r>
    <r>
      <rPr>
        <sz val="11"/>
        <rFont val="Calibri"/>
        <family val="0"/>
        <charset val="1"/>
      </rPr>
      <t xml:space="preserve">'.</t>
    </r>
  </si>
  <si>
    <r>
      <rPr>
        <sz val="11"/>
        <rFont val="Calibri"/>
        <family val="0"/>
        <charset val="1"/>
      </rPr>
      <t xml:space="preserve">NOT_FOUND</t>
    </r>
    <r>
      <rPr>
        <sz val="11"/>
        <rFont val="Noto Sans CJK SC"/>
        <family val="2"/>
      </rPr>
      <t xml:space="preserve">가 아닌 </t>
    </r>
    <r>
      <rPr>
        <sz val="11"/>
        <rFont val="Calibri"/>
        <family val="0"/>
        <charset val="1"/>
      </rPr>
      <t xml:space="preserve">NOT_PUBLIC</t>
    </r>
    <r>
      <rPr>
        <sz val="11"/>
        <rFont val="Noto Sans CJK SC"/>
        <family val="2"/>
      </rPr>
      <t xml:space="preserve">으로 종결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추적 대상에서 제외하고 사유만 문서화</t>
    </r>
    <r>
      <rPr>
        <sz val="11"/>
        <rFont val="Calibri"/>
        <family val="0"/>
        <charset val="1"/>
      </rPr>
      <t xml:space="preserve">.</t>
    </r>
  </si>
  <si>
    <t xml:space="preserve">해결 가능</t>
  </si>
  <si>
    <r>
      <rPr>
        <sz val="11"/>
        <rFont val="Noto Sans CJK SC"/>
        <family val="2"/>
      </rPr>
      <t xml:space="preserve">파일</t>
    </r>
    <r>
      <rPr>
        <sz val="11"/>
        <rFont val="Calibri"/>
        <family val="0"/>
        <charset val="1"/>
      </rPr>
      <t xml:space="preserve">1 No.3~7</t>
    </r>
  </si>
  <si>
    <r>
      <rPr>
        <sz val="11"/>
        <rFont val="Noto Sans CJK SC"/>
        <family val="2"/>
      </rPr>
      <t xml:space="preserve">주차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버스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건은 정부 표준데이터와 지자체 공개데이터에 해당 필드가 표준 항목으로 존재함을 확인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좌석도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건은 예매 화면 판독으로만 가능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</si>
  <si>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전국주차장정보표준데이터를 내려받아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개 구장 주차장 레코드를 대조하는 것이 다음 최우선 작업</t>
    </r>
    <r>
      <rPr>
        <sz val="11"/>
        <rFont val="Calibri"/>
        <family val="0"/>
        <charset val="1"/>
      </rPr>
      <t xml:space="preserve">.</t>
    </r>
  </si>
  <si>
    <r>
      <rPr>
        <b val="true"/>
        <sz val="16"/>
        <color rgb="FFFFFFFF"/>
        <rFont val="Noto Sans CJK SC"/>
        <family val="2"/>
      </rPr>
      <t xml:space="preserve">파일</t>
    </r>
    <r>
      <rPr>
        <b val="true"/>
        <sz val="16"/>
        <color rgb="FFFFFFFF"/>
        <rFont val="Calibri"/>
        <family val="0"/>
        <charset val="1"/>
      </rPr>
      <t xml:space="preserve">1 · </t>
    </r>
    <r>
      <rPr>
        <b val="true"/>
        <sz val="16"/>
        <color rgb="FFFFFFFF"/>
        <rFont val="Noto Sans CJK SC"/>
        <family val="2"/>
      </rPr>
      <t xml:space="preserve">구장정보 </t>
    </r>
    <r>
      <rPr>
        <b val="true"/>
        <sz val="16"/>
        <color rgb="FFFFFFFF"/>
        <rFont val="Calibri"/>
        <family val="0"/>
        <charset val="1"/>
      </rPr>
      <t xml:space="preserve">Backlog </t>
    </r>
    <r>
      <rPr>
        <b val="true"/>
        <sz val="16"/>
        <color rgb="FFFFFFFF"/>
        <rFont val="Noto Sans CJK SC"/>
        <family val="2"/>
      </rPr>
      <t xml:space="preserve">설명</t>
    </r>
  </si>
  <si>
    <t xml:space="preserve">No</t>
  </si>
  <si>
    <t xml:space="preserve">우선순위</t>
  </si>
  <si>
    <t xml:space="preserve">구장코드</t>
  </si>
  <si>
    <t xml:space="preserve">팀</t>
  </si>
  <si>
    <t xml:space="preserve">분류</t>
  </si>
  <si>
    <t xml:space="preserve">무엇을 못 찾았나</t>
  </si>
  <si>
    <t xml:space="preserve">현재까지 공식적으로 확인한 것</t>
  </si>
  <si>
    <t xml:space="preserve">그래도 아직 못 찾은 것</t>
  </si>
  <si>
    <t xml:space="preserve">재검증 결과</t>
  </si>
  <si>
    <r>
      <rPr>
        <b val="true"/>
        <sz val="11"/>
        <color rgb="FFFFFFFF"/>
        <rFont val="Noto Sans CJK SC"/>
        <family val="2"/>
      </rPr>
      <t xml:space="preserve">왜 미확인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주의사항</t>
    </r>
  </si>
  <si>
    <t xml:space="preserve">다음 공식 확인처</t>
  </si>
  <si>
    <r>
      <rPr>
        <b val="true"/>
        <sz val="11"/>
        <color rgb="FFFFFFFF"/>
        <rFont val="Noto Sans CJK SC"/>
        <family val="2"/>
      </rPr>
      <t xml:space="preserve">공식 출처 </t>
    </r>
    <r>
      <rPr>
        <b val="true"/>
        <sz val="11"/>
        <color rgb="FFFFFFFF"/>
        <rFont val="Calibri"/>
        <family val="0"/>
        <charset val="1"/>
      </rPr>
      <t xml:space="preserve">URL</t>
    </r>
  </si>
  <si>
    <r>
      <rPr>
        <b val="true"/>
        <sz val="11"/>
        <color rgb="FFFFFFFF"/>
        <rFont val="Noto Sans CJK SC"/>
        <family val="2"/>
      </rPr>
      <t xml:space="preserve">구조적 분류</t>
    </r>
    <r>
      <rPr>
        <b val="true"/>
        <sz val="11"/>
        <color rgb="FFFFFFFF"/>
        <rFont val="Calibri"/>
        <family val="0"/>
        <charset val="1"/>
      </rPr>
      <t xml:space="preserve">(3</t>
    </r>
    <r>
      <rPr>
        <b val="true"/>
        <sz val="11"/>
        <color rgb="FFFFFFFF"/>
        <rFont val="Noto Sans CJK SC"/>
        <family val="2"/>
      </rPr>
      <t xml:space="preserve">차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</si>
  <si>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Calibri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차 재검증 결과</t>
    </r>
  </si>
  <si>
    <r>
      <rPr>
        <b val="true"/>
        <sz val="11"/>
        <color rgb="FFFFFFFF"/>
        <rFont val="Calibri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차에서 새로 확보한 것</t>
    </r>
  </si>
  <si>
    <r>
      <rPr>
        <b val="true"/>
        <sz val="11"/>
        <color rgb="FFFFFFFF"/>
        <rFont val="Calibri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차 근거 출처</t>
    </r>
  </si>
  <si>
    <t xml:space="preserve">P0</t>
  </si>
  <si>
    <t xml:space="preserve">CHANGWON</t>
  </si>
  <si>
    <t xml:space="preserve">NC</t>
  </si>
  <si>
    <t xml:space="preserve">SEAT_PRICE</t>
  </si>
  <si>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시즌 고정 가격표 및 매진 상품의 가격 단위</t>
    </r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</si>
  <si>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공식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일반 티켓 안내는 재확인했으나 매진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혼합 노출 상품의 고정 가격 단위는 확인되지 않음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</si>
  <si>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실제 결제 단계에서 매진 상품의 가격 단위를 확인해야 함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</si>
  <si>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다이노스 공식 시즌 티켓 공지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실제 결제 단계</t>
    </r>
  </si>
  <si>
    <t xml:space="preserve">https://ticket.ncdinos.com/product/2026-regular-ticket.jpg</t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</si>
  <si>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공식 공지</t>
    </r>
    <r>
      <rPr>
        <sz val="11"/>
        <rFont val="Calibri"/>
        <family val="0"/>
        <charset val="1"/>
      </rPr>
      <t xml:space="preserve">(2026-02-07)</t>
    </r>
    <r>
      <rPr>
        <sz val="11"/>
        <rFont val="Noto Sans CJK SC"/>
        <family val="2"/>
      </rPr>
      <t xml:space="preserve">에서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시즌티켓 상품체계 확보 — </t>
    </r>
    <r>
      <rPr>
        <sz val="11"/>
        <rFont val="Calibri"/>
        <family val="0"/>
        <charset val="1"/>
      </rPr>
      <t xml:space="preserve">N</t>
    </r>
    <r>
      <rPr>
        <sz val="11"/>
        <rFont val="Noto Sans CJK SC"/>
        <family val="2"/>
      </rPr>
      <t xml:space="preserve">타입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모바일앱</t>
    </r>
    <r>
      <rPr>
        <sz val="11"/>
        <rFont val="Calibri"/>
        <family val="0"/>
        <charset val="1"/>
      </rPr>
      <t xml:space="preserve">)·C</t>
    </r>
    <r>
      <rPr>
        <sz val="11"/>
        <rFont val="Noto Sans CJK SC"/>
        <family val="2"/>
      </rPr>
      <t xml:space="preserve">타입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지류 티켓북</t>
    </r>
    <r>
      <rPr>
        <sz val="11"/>
        <rFont val="Calibri"/>
        <family val="0"/>
        <charset val="1"/>
      </rPr>
      <t xml:space="preserve">)·</t>
    </r>
    <r>
      <rPr>
        <sz val="11"/>
        <rFont val="Noto Sans CJK SC"/>
        <family val="2"/>
      </rPr>
      <t xml:space="preserve">스카이박스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드림티켓 </t>
    </r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종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홈 </t>
    </r>
    <r>
      <rPr>
        <sz val="11"/>
        <rFont val="Calibri"/>
        <family val="0"/>
        <charset val="1"/>
      </rPr>
      <t xml:space="preserve">73</t>
    </r>
    <r>
      <rPr>
        <sz val="11"/>
        <rFont val="Noto Sans CJK SC"/>
        <family val="2"/>
      </rPr>
      <t xml:space="preserve">경기 기준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드림티켓이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정가의 </t>
    </r>
    <r>
      <rPr>
        <sz val="11"/>
        <rFont val="Calibri"/>
        <family val="0"/>
        <charset val="1"/>
      </rPr>
      <t xml:space="preserve">50%</t>
    </r>
    <r>
      <rPr>
        <sz val="11"/>
        <rFont val="Noto Sans CJK SC"/>
        <family val="2"/>
      </rPr>
      <t xml:space="preserve">인 </t>
    </r>
    <r>
      <rPr>
        <sz val="11"/>
        <rFont val="Calibri"/>
        <family val="0"/>
        <charset val="1"/>
      </rPr>
      <t xml:space="preserve">39</t>
    </r>
    <r>
      <rPr>
        <sz val="11"/>
        <rFont val="Noto Sans CJK SC"/>
        <family val="2"/>
      </rPr>
      <t xml:space="preserve">만 </t>
    </r>
    <r>
      <rPr>
        <sz val="11"/>
        <rFont val="Calibri"/>
        <family val="0"/>
        <charset val="1"/>
      </rPr>
      <t xml:space="preserve">9,000</t>
    </r>
    <r>
      <rPr>
        <sz val="11"/>
        <rFont val="Noto Sans CJK SC"/>
        <family val="2"/>
      </rPr>
      <t xml:space="preserve">원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으로 명시돼 해당 내야석</t>
    </r>
    <r>
      <rPr>
        <sz val="11"/>
        <rFont val="Calibri"/>
        <family val="0"/>
        <charset val="1"/>
      </rPr>
      <t xml:space="preserve">(1·2</t>
    </r>
    <r>
      <rPr>
        <sz val="11"/>
        <rFont val="Noto Sans CJK SC"/>
        <family val="2"/>
      </rPr>
      <t xml:space="preserve">층</t>
    </r>
    <r>
      <rPr>
        <sz val="11"/>
        <rFont val="Calibri"/>
        <family val="0"/>
        <charset val="1"/>
      </rPr>
      <t xml:space="preserve">) </t>
    </r>
    <r>
      <rPr>
        <sz val="11"/>
        <rFont val="Noto Sans CJK SC"/>
        <family val="2"/>
      </rPr>
      <t xml:space="preserve">정가 </t>
    </r>
    <r>
      <rPr>
        <sz val="11"/>
        <rFont val="Calibri"/>
        <family val="0"/>
        <charset val="1"/>
      </rPr>
      <t xml:space="preserve">798,000</t>
    </r>
    <r>
      <rPr>
        <sz val="11"/>
        <rFont val="Noto Sans CJK SC"/>
        <family val="2"/>
      </rPr>
      <t xml:space="preserve">원을 공식 문서로 역산 가능</t>
    </r>
    <r>
      <rPr>
        <sz val="11"/>
        <rFont val="Calibri"/>
        <family val="0"/>
        <charset val="1"/>
      </rPr>
      <t xml:space="preserve">(60</t>
    </r>
    <r>
      <rPr>
        <sz val="11"/>
        <rFont val="Noto Sans CJK SC"/>
        <family val="2"/>
      </rPr>
      <t xml:space="preserve">석 한정</t>
    </r>
    <r>
      <rPr>
        <sz val="11"/>
        <rFont val="Calibri"/>
        <family val="0"/>
        <charset val="1"/>
      </rPr>
      <t xml:space="preserve">, 1</t>
    </r>
    <r>
      <rPr>
        <sz val="11"/>
        <rFont val="Noto Sans CJK SC"/>
        <family val="2"/>
      </rPr>
      <t xml:space="preserve">인 최대 </t>
    </r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매</t>
    </r>
    <r>
      <rPr>
        <sz val="11"/>
        <rFont val="Calibri"/>
        <family val="0"/>
        <charset val="1"/>
      </rPr>
      <t xml:space="preserve">). ※ </t>
    </r>
    <r>
      <rPr>
        <sz val="11"/>
        <rFont val="Noto Sans CJK SC"/>
        <family val="2"/>
      </rPr>
      <t xml:space="preserve">스카이박스</t>
    </r>
    <r>
      <rPr>
        <sz val="11"/>
        <rFont val="Calibri"/>
        <family val="0"/>
        <charset val="1"/>
      </rPr>
      <t xml:space="preserve">·C</t>
    </r>
    <r>
      <rPr>
        <sz val="11"/>
        <rFont val="Noto Sans CJK SC"/>
        <family val="2"/>
      </rPr>
      <t xml:space="preserve">타입은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홈페이지 또는 앱 내 </t>
    </r>
    <r>
      <rPr>
        <sz val="11"/>
        <rFont val="Calibri"/>
        <family val="0"/>
        <charset val="1"/>
      </rPr>
      <t xml:space="preserve">1:1 </t>
    </r>
    <r>
      <rPr>
        <sz val="11"/>
        <rFont val="Noto Sans CJK SC"/>
        <family val="2"/>
      </rPr>
      <t xml:space="preserve">채팅 문의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로만 판매돼 공개 정가 자체가 부재 → 잔여분은 </t>
    </r>
    <r>
      <rPr>
        <sz val="11"/>
        <rFont val="Calibri"/>
        <family val="0"/>
        <charset val="1"/>
      </rPr>
      <t xml:space="preserve">NOT_FOUND</t>
    </r>
    <r>
      <rPr>
        <sz val="11"/>
        <rFont val="Noto Sans CJK SC"/>
        <family val="2"/>
      </rPr>
      <t xml:space="preserve">가 아닌 </t>
    </r>
    <r>
      <rPr>
        <sz val="11"/>
        <rFont val="Calibri"/>
        <family val="0"/>
        <charset val="1"/>
      </rPr>
      <t xml:space="preserve">NOT_PUBLIC</t>
    </r>
    <r>
      <rPr>
        <sz val="11"/>
        <rFont val="Noto Sans CJK SC"/>
        <family val="2"/>
      </rPr>
      <t xml:space="preserve">으로 종결 권고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</si>
  <si>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https://www.ncdinos.com/dinos/notice/view.do?seq=541889 (</t>
    </r>
    <r>
      <rPr>
        <sz val="11"/>
        <rFont val="Noto Sans CJK SC"/>
        <family val="2"/>
      </rPr>
      <t xml:space="preserve">구단 공식 공지</t>
    </r>
    <r>
      <rPr>
        <sz val="11"/>
        <rFont val="Calibri"/>
        <family val="0"/>
        <charset val="1"/>
      </rPr>
      <t xml:space="preserve">, 2026-02-07)</t>
    </r>
  </si>
  <si>
    <t xml:space="preserve">DAEGU</t>
  </si>
  <si>
    <t xml:space="preserve">SAMSUNG</t>
  </si>
  <si>
    <r>
      <rPr>
        <sz val="11"/>
        <rFont val="Noto Sans CJK SC"/>
        <family val="2"/>
      </rPr>
      <t xml:space="preserve">스윗박스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판매 가격</t>
    </r>
  </si>
  <si>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스윗박스 리모델링 공사 공식공고를 재확인했으나 판매가격은 없음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</si>
  <si>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스윗박스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실제 판매 가격</t>
    </r>
    <r>
      <rPr>
        <sz val="11"/>
        <rFont val="Calibri"/>
        <family val="0"/>
        <charset val="1"/>
      </rPr>
      <t xml:space="preserve">(1</t>
    </r>
    <r>
      <rPr>
        <sz val="11"/>
        <rFont val="Noto Sans CJK SC"/>
        <family val="2"/>
      </rPr>
      <t xml:space="preserve">인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실 단위 포함</t>
    </r>
    <r>
      <rPr>
        <sz val="11"/>
        <rFont val="Calibri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</si>
  <si>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공사금액은 좌석 판매가격이 아니므로 사용하지 않음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</si>
  <si>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삼성 라이온즈 공식 예매 페이지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스윗박스 판매 공지</t>
    </r>
  </si>
  <si>
    <t xml:space="preserve">https://www.samsunglions.com/intro/intro02.asp?act=view&amp;idx=1017173</t>
  </si>
  <si>
    <r>
      <rPr>
        <sz val="11"/>
        <rFont val="Noto Sans CJK SC"/>
        <family val="2"/>
      </rPr>
      <t xml:space="preserve">삼성 공식 입장요금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좌석 안내 페이지를 직접 열람한 결과 요금표가 텍스트 없이 이미지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장으로만 게시되며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그 이미지 안에도 스윗박스 판매가는 표기되지 않음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공식 경로에 판매가가 존재하지 않는 것으로 확인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</si>
  <si>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https://www.samsunglions.com/score/score_4_2_1.asp (</t>
    </r>
    <r>
      <rPr>
        <sz val="11"/>
        <rFont val="Noto Sans CJK SC"/>
        <family val="2"/>
      </rPr>
      <t xml:space="preserve">구단 공식</t>
    </r>
    <r>
      <rPr>
        <sz val="11"/>
        <rFont val="Calibri"/>
        <family val="0"/>
        <charset val="1"/>
      </rPr>
      <t xml:space="preserve">, 2026-09-05 </t>
    </r>
    <r>
      <rPr>
        <sz val="11"/>
        <rFont val="Noto Sans CJK SC"/>
        <family val="2"/>
      </rPr>
      <t xml:space="preserve">열람</t>
    </r>
    <r>
      <rPr>
        <sz val="11"/>
        <rFont val="Calibri"/>
        <family val="0"/>
        <charset val="1"/>
      </rPr>
      <t xml:space="preserve">)</t>
    </r>
  </si>
  <si>
    <t xml:space="preserve">P1</t>
  </si>
  <si>
    <t xml:space="preserve">GWANGJU</t>
  </si>
  <si>
    <t xml:space="preserve">KIA</t>
  </si>
  <si>
    <t xml:space="preserve">SEAT_MAP</t>
  </si>
  <si>
    <t xml:space="preserve">외야가족석의 정확한 블록 위치</t>
  </si>
  <si>
    <r>
      <rPr>
        <sz val="11"/>
        <rFont val="Calibri"/>
        <family val="0"/>
        <charset val="1"/>
      </rPr>
      <t xml:space="preserve">KIA </t>
    </r>
    <r>
      <rPr>
        <sz val="11"/>
        <rFont val="Noto Sans CJK SC"/>
        <family val="2"/>
      </rPr>
      <t xml:space="preserve">공식 시설 안내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좌석 관련 공개자료를 재검색했으나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외야가족석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의 정확한 블록 라벨은 확인되지 않음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</si>
  <si>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예매 좌석 선택 화면에서 시즌 중 직접 확인 필요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</si>
  <si>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KIA </t>
    </r>
    <r>
      <rPr>
        <sz val="11"/>
        <rFont val="Noto Sans CJK SC"/>
        <family val="2"/>
      </rPr>
      <t xml:space="preserve">공식 상세 블록 좌석도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예매 좌석 선택 화면</t>
    </r>
  </si>
  <si>
    <r>
      <rPr>
        <sz val="11"/>
        <rFont val="Calibri"/>
        <family val="0"/>
        <charset val="1"/>
      </rPr>
      <t xml:space="preserve">KIA </t>
    </r>
    <r>
      <rPr>
        <sz val="11"/>
        <rFont val="Noto Sans CJK SC"/>
        <family val="2"/>
      </rPr>
      <t xml:space="preserve">공식 시설안내 페이지가 관람석 사진 갤러리로만 구성돼 블록 라벨 텍스트가 없음을 확인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외야가족석 블록은 시즌 중 예매 좌석선택 화면 판독으로만 특정 가능 → 확보하더라도 공식 문서 근거가 아니므로 </t>
    </r>
    <r>
      <rPr>
        <sz val="11"/>
        <rFont val="Calibri"/>
        <family val="0"/>
        <charset val="1"/>
      </rPr>
      <t xml:space="preserve">evidence_type=DERIVED</t>
    </r>
    <r>
      <rPr>
        <sz val="11"/>
        <rFont val="Noto Sans CJK SC"/>
        <family val="2"/>
      </rPr>
      <t xml:space="preserve">로 분리 저장 필요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</si>
  <si>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https://tigers.co.kr/tigers/champions-field/facility-guide (</t>
    </r>
    <r>
      <rPr>
        <sz val="11"/>
        <rFont val="Noto Sans CJK SC"/>
        <family val="2"/>
      </rPr>
      <t xml:space="preserve">구단 공식</t>
    </r>
    <r>
      <rPr>
        <sz val="11"/>
        <rFont val="Calibri"/>
        <family val="0"/>
        <charset val="1"/>
      </rPr>
      <t xml:space="preserve">, 2026-09-05 </t>
    </r>
    <r>
      <rPr>
        <sz val="11"/>
        <rFont val="Noto Sans CJK SC"/>
        <family val="2"/>
      </rPr>
      <t xml:space="preserve">열람</t>
    </r>
    <r>
      <rPr>
        <sz val="11"/>
        <rFont val="Calibri"/>
        <family val="0"/>
        <charset val="1"/>
      </rPr>
      <t xml:space="preserve">)</t>
    </r>
  </si>
  <si>
    <t xml:space="preserve">DAEJEON</t>
  </si>
  <si>
    <t xml:space="preserve">HANWHA</t>
  </si>
  <si>
    <t xml:space="preserve">PUBLIC_TRANSIT</t>
  </si>
  <si>
    <r>
      <rPr>
        <sz val="11"/>
        <rFont val="Noto Sans CJK SC"/>
        <family val="2"/>
      </rPr>
      <t xml:space="preserve">경기일 최신 버스 노선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정류장</t>
    </r>
  </si>
  <si>
    <r>
      <rPr>
        <sz val="11"/>
        <rFont val="Noto Sans CJK SC"/>
        <family val="2"/>
      </rPr>
      <t xml:space="preserve">기존 확보 공식자료 재확인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급행</t>
    </r>
    <r>
      <rPr>
        <sz val="11"/>
        <rFont val="Calibri"/>
        <family val="0"/>
        <charset val="1"/>
      </rPr>
      <t xml:space="preserve">4·513·604 </t>
    </r>
    <r>
      <rPr>
        <sz val="11"/>
        <rFont val="Noto Sans CJK SC"/>
        <family val="2"/>
      </rPr>
      <t xml:space="preserve">경유 및 </t>
    </r>
    <r>
      <rPr>
        <sz val="11"/>
        <rFont val="Calibri"/>
        <family val="0"/>
        <charset val="1"/>
      </rPr>
      <t xml:space="preserve">2026-04-11~08-30 </t>
    </r>
    <r>
      <rPr>
        <sz val="11"/>
        <rFont val="Noto Sans CJK SC"/>
        <family val="2"/>
      </rPr>
      <t xml:space="preserve">주말 홈경기 한시 증편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</si>
  <si>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공식 정류장명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정류장 </t>
    </r>
    <r>
      <rPr>
        <sz val="11"/>
        <rFont val="Calibri"/>
        <family val="0"/>
        <charset val="1"/>
      </rPr>
      <t xml:space="preserve">ID </t>
    </r>
    <r>
      <rPr>
        <sz val="11"/>
        <rFont val="Noto Sans CJK SC"/>
        <family val="2"/>
      </rPr>
      <t xml:space="preserve">및 </t>
    </r>
    <r>
      <rPr>
        <sz val="11"/>
        <rFont val="Calibri"/>
        <family val="0"/>
        <charset val="1"/>
      </rPr>
      <t xml:space="preserve">2026-09-04 </t>
    </r>
    <r>
      <rPr>
        <sz val="11"/>
        <rFont val="Noto Sans CJK SC"/>
        <family val="2"/>
      </rPr>
      <t xml:space="preserve">이후 경기일 임시편 여부</t>
    </r>
  </si>
  <si>
    <r>
      <rPr>
        <sz val="11"/>
        <rFont val="Noto Sans CJK SC"/>
        <family val="2"/>
      </rPr>
      <t xml:space="preserve">증편 기간 종료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비공식 사이트의 정류장명은 공식근거가 아니므로 제외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</si>
  <si>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대전교통정보센터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한화 경기일 교통 공지</t>
    </r>
  </si>
  <si>
    <t xml:space="preserve">https://www.daejeon.go.kr/drh/board/boardNormalView.do?boardId=normal_0189&amp;menuSeq=1632&amp;ntatcSeq=1511463750&amp;pageIndex=53&amp;recordCountPerPage=10</t>
  </si>
  <si>
    <r>
      <rPr>
        <sz val="11"/>
        <rFont val="Noto Sans CJK SC"/>
        <family val="2"/>
      </rPr>
      <t xml:space="preserve">정류소명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정류소</t>
    </r>
    <r>
      <rPr>
        <sz val="11"/>
        <rFont val="Calibri"/>
        <family val="0"/>
        <charset val="1"/>
      </rPr>
      <t xml:space="preserve">ID</t>
    </r>
    <r>
      <rPr>
        <sz val="11"/>
        <rFont val="Noto Sans CJK SC"/>
        <family val="2"/>
      </rPr>
      <t xml:space="preserve">는 지자체 대중교통 공개데이터의 필수 항목이므로 대전시 </t>
    </r>
    <r>
      <rPr>
        <sz val="11"/>
        <rFont val="Calibri"/>
        <family val="0"/>
        <charset val="1"/>
      </rPr>
      <t xml:space="preserve">BIS·</t>
    </r>
    <r>
      <rPr>
        <sz val="11"/>
        <rFont val="Noto Sans CJK SC"/>
        <family val="2"/>
      </rPr>
      <t xml:space="preserve">정류소 공개데이터에서 확보 가능</t>
    </r>
    <r>
      <rPr>
        <sz val="11"/>
        <rFont val="Calibri"/>
        <family val="0"/>
        <charset val="1"/>
      </rPr>
      <t xml:space="preserve">. ※ </t>
    </r>
    <r>
      <rPr>
        <sz val="11"/>
        <rFont val="Noto Sans CJK SC"/>
        <family val="2"/>
      </rPr>
      <t xml:space="preserve">해당 데이터셋에 볼파크 인근 정류소가 실제 수록됐는지는 미검증 — 다음 단계에서 파일 대조 필요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</si>
  <si>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대전시 대중교통 공개데이터 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경로 제안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미검증</t>
    </r>
    <r>
      <rPr>
        <sz val="11"/>
        <rFont val="Calibri"/>
        <family val="0"/>
        <charset val="1"/>
      </rPr>
      <t xml:space="preserve">)</t>
    </r>
  </si>
  <si>
    <t xml:space="preserve">PARKING</t>
  </si>
  <si>
    <r>
      <rPr>
        <sz val="11"/>
        <rFont val="Noto Sans CJK SC"/>
        <family val="2"/>
      </rPr>
      <t xml:space="preserve">주차장 위치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수용면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요금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예약 조건</t>
    </r>
  </si>
  <si>
    <r>
      <rPr>
        <sz val="11"/>
        <rFont val="Noto Sans CJK SC"/>
        <family val="2"/>
      </rPr>
      <t xml:space="preserve">기존 확보 공식자료 재확인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대사문화공원 </t>
    </r>
    <r>
      <rPr>
        <sz val="11"/>
        <rFont val="Calibri"/>
        <family val="0"/>
        <charset val="1"/>
      </rPr>
      <t xml:space="preserve">73</t>
    </r>
    <r>
      <rPr>
        <sz val="11"/>
        <rFont val="Noto Sans CJK SC"/>
        <family val="2"/>
      </rPr>
      <t xml:space="preserve">면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사회복지관 건립부지 개방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부사동 </t>
    </r>
    <r>
      <rPr>
        <sz val="11"/>
        <rFont val="Calibri"/>
        <family val="0"/>
        <charset val="1"/>
      </rPr>
      <t xml:space="preserve">126-5 </t>
    </r>
    <r>
      <rPr>
        <sz val="11"/>
        <rFont val="Noto Sans CJK SC"/>
        <family val="2"/>
      </rPr>
      <t xml:space="preserve">재개방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</si>
  <si>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2026-09-04 </t>
    </r>
    <r>
      <rPr>
        <sz val="11"/>
        <rFont val="Noto Sans CJK SC"/>
        <family val="2"/>
      </rPr>
      <t xml:space="preserve">현재 각 주차장의 요금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예약조건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운영 지속 여부</t>
    </r>
  </si>
  <si>
    <r>
      <rPr>
        <sz val="11"/>
        <rFont val="Noto Sans CJK SC"/>
        <family val="2"/>
      </rPr>
      <t xml:space="preserve">후속 공식자료 기준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계획단계 자료</t>
    </r>
    <r>
      <rPr>
        <sz val="11"/>
        <rFont val="Calibri"/>
        <family val="0"/>
        <charset val="1"/>
      </rPr>
      <t xml:space="preserve">: https://daejeon.go.kr/drh/board/boardNormalView.do?boardId=normal_0189&amp;menuSeq=6825&amp;ntatcSeq=1508703302&amp;pageIndex=1</t>
    </r>
  </si>
  <si>
    <r>
      <rPr>
        <sz val="11"/>
        <rFont val="Noto Sans CJK SC"/>
        <family val="2"/>
      </rPr>
      <t xml:space="preserve">대전시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시설관리기관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한화 경기일 주차 공지</t>
    </r>
  </si>
  <si>
    <t xml:space="preserve">https://daejeon.go.kr/its/ItsdjNormalboardView.do?boardGubun=itsdj04&amp;boardSeq=3742&amp;menuSeq=5933&amp;pageIndex=1</t>
  </si>
  <si>
    <r>
      <rPr>
        <sz val="11"/>
        <rFont val="Noto Sans CJK SC"/>
        <family val="2"/>
      </rPr>
      <t xml:space="preserve">한화 공식 </t>
    </r>
    <r>
      <rPr>
        <sz val="11"/>
        <rFont val="Calibri"/>
        <family val="0"/>
        <charset val="1"/>
      </rPr>
      <t xml:space="preserve">FAQ</t>
    </r>
    <r>
      <rPr>
        <sz val="11"/>
        <rFont val="Noto Sans CJK SC"/>
        <family val="2"/>
      </rPr>
      <t xml:space="preserve">에서 예약 조건 확정 — </t>
    </r>
    <r>
      <rPr>
        <sz val="11"/>
        <rFont val="Calibri"/>
        <family val="0"/>
        <charset val="1"/>
      </rPr>
      <t xml:space="preserve">"</t>
    </r>
    <r>
      <rPr>
        <sz val="11"/>
        <rFont val="Noto Sans CJK SC"/>
        <family val="2"/>
      </rPr>
      <t xml:space="preserve">지하주차장은 지하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층만 사용 가능하며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경기장 입장시간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시간 전부터 입차할 수 있습니다</t>
    </r>
    <r>
      <rPr>
        <sz val="11"/>
        <rFont val="Calibri"/>
        <family val="0"/>
        <charset val="1"/>
      </rPr>
      <t xml:space="preserve">.(</t>
    </r>
    <r>
      <rPr>
        <sz val="11"/>
        <rFont val="Noto Sans CJK SC"/>
        <family val="2"/>
      </rPr>
      <t xml:space="preserve">평일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시간 전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주말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시간 </t>
    </r>
    <r>
      <rPr>
        <sz val="11"/>
        <rFont val="Calibri"/>
        <family val="0"/>
        <charset val="1"/>
      </rPr>
      <t xml:space="preserve">30</t>
    </r>
    <r>
      <rPr>
        <sz val="11"/>
        <rFont val="Noto Sans CJK SC"/>
        <family val="2"/>
      </rPr>
      <t xml:space="preserve">분 전</t>
    </r>
    <r>
      <rPr>
        <sz val="11"/>
        <rFont val="Calibri"/>
        <family val="0"/>
        <charset val="1"/>
      </rPr>
      <t xml:space="preserve">)", "</t>
    </r>
    <r>
      <rPr>
        <sz val="11"/>
        <rFont val="Noto Sans CJK SC"/>
        <family val="2"/>
      </rPr>
      <t xml:space="preserve">선착순으로 운영되며 만차 시 지상 주차장 및 외부 주차장을 이용</t>
    </r>
    <r>
      <rPr>
        <sz val="11"/>
        <rFont val="Calibri"/>
        <family val="0"/>
        <charset val="1"/>
      </rPr>
      <t xml:space="preserve">". → reservation_required=N </t>
    </r>
    <r>
      <rPr>
        <sz val="11"/>
        <rFont val="Noto Sans CJK SC"/>
        <family val="2"/>
      </rPr>
      <t xml:space="preserve">확정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잔여 필드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요금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수용면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는 전국주차장정보표준데이터로 해결 가능</t>
    </r>
    <r>
      <rPr>
        <sz val="11"/>
        <rFont val="Calibri"/>
        <family val="0"/>
        <charset val="1"/>
      </rPr>
      <t xml:space="preserve">.</t>
    </r>
  </si>
  <si>
    <t xml:space="preserve">https://www.hanwhaeagles.co.kr/ETC/CU/ETCCUCUI01.do?kind=FQ2 / https://www.data.go.kr/data/15012896/standard.do</t>
  </si>
  <si>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일반 주차요금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운영 수용면</t>
    </r>
  </si>
  <si>
    <r>
      <rPr>
        <sz val="11"/>
        <rFont val="Noto Sans CJK SC"/>
        <family val="2"/>
      </rPr>
      <t xml:space="preserve">삼성 공식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시즌권 안내에서 라팍 지하주차장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달구벌주차장 차량등록 신청서 운영을 확인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</si>
  <si>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일반 관람객 주차요금 및 실제 운영 수용면</t>
    </r>
  </si>
  <si>
    <r>
      <rPr>
        <sz val="11"/>
        <rFont val="Noto Sans CJK SC"/>
        <family val="2"/>
      </rPr>
      <t xml:space="preserve">시즌권 회원 차량등록 자료라 일반 관람객 요금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수용면을 확정할 수 없음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</si>
  <si>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삼성 라이온즈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대구시 경기일 주차 공지</t>
    </r>
  </si>
  <si>
    <t xml:space="preserve">https://www.samsunglions.com/intro/intro02.asp?act=view&amp;idx=1017186</t>
  </si>
  <si>
    <r>
      <rPr>
        <sz val="11"/>
        <rFont val="Noto Sans CJK SC"/>
        <family val="2"/>
      </rPr>
      <t xml:space="preserve">전국주차장정보표준데이터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국토교통부 소관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지자체 제공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최종수정 </t>
    </r>
    <r>
      <rPr>
        <sz val="11"/>
        <rFont val="Calibri"/>
        <family val="0"/>
        <charset val="1"/>
      </rPr>
      <t xml:space="preserve">2026-04-20, </t>
    </r>
    <r>
      <rPr>
        <sz val="11"/>
        <rFont val="Noto Sans CJK SC"/>
        <family val="2"/>
      </rPr>
      <t xml:space="preserve">반기 갱신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에 주차구획수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기본요금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추가단위요금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운영시간이 표준 항목으로 포함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대구광역시 통합주차정보시스템도 현재 운영 중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공지 </t>
    </r>
    <r>
      <rPr>
        <sz val="11"/>
        <rFont val="Calibri"/>
        <family val="0"/>
        <charset val="1"/>
      </rPr>
      <t xml:space="preserve">2026-04-07)</t>
    </r>
    <r>
      <rPr>
        <sz val="11"/>
        <rFont val="Noto Sans CJK SC"/>
        <family val="2"/>
      </rPr>
      <t xml:space="preserve">으로 수성구 공영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민간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개방주차 실시간 정보 제공</t>
    </r>
    <r>
      <rPr>
        <sz val="11"/>
        <rFont val="Calibri"/>
        <family val="0"/>
        <charset val="1"/>
      </rPr>
      <t xml:space="preserve">. ※ </t>
    </r>
    <r>
      <rPr>
        <sz val="11"/>
        <rFont val="Noto Sans CJK SC"/>
        <family val="2"/>
      </rPr>
      <t xml:space="preserve">라팍 주차장 레코드 수록 여부는 파일을 내려받아 확인 필요</t>
    </r>
    <r>
      <rPr>
        <sz val="11"/>
        <rFont val="Calibri"/>
        <family val="0"/>
        <charset val="1"/>
      </rPr>
      <t xml:space="preserve">.</t>
    </r>
  </si>
  <si>
    <t xml:space="preserve">https://www.data.go.kr/data/15012896/standard.do / https://pis.daegu.go.kr/</t>
  </si>
  <si>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경기일 주차 수용면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요금</t>
    </r>
  </si>
  <si>
    <r>
      <rPr>
        <sz val="11"/>
        <rFont val="Calibri"/>
        <family val="0"/>
        <charset val="1"/>
      </rPr>
      <t xml:space="preserve">KIA/</t>
    </r>
    <r>
      <rPr>
        <sz val="11"/>
        <rFont val="Noto Sans CJK SC"/>
        <family val="2"/>
      </rPr>
      <t xml:space="preserve">광주시 공식 공개자료를 재검색했으나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경기일 전용 주차 수용면과 요금을 동시에 확인할 최신 공지를 찾지 못함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</si>
  <si>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비공식 주차 안내는 값이 상충해 제외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</si>
  <si>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KIA </t>
    </r>
    <r>
      <rPr>
        <sz val="11"/>
        <rFont val="Noto Sans CJK SC"/>
        <family val="2"/>
      </rPr>
      <t xml:space="preserve">타이거즈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광주시 경기일 주차 공지</t>
    </r>
  </si>
  <si>
    <r>
      <rPr>
        <sz val="11"/>
        <rFont val="Noto Sans CJK SC"/>
        <family val="2"/>
      </rPr>
      <t xml:space="preserve">위 표준데이터 </t>
    </r>
    <r>
      <rPr>
        <sz val="11"/>
        <rFont val="Calibri"/>
        <family val="0"/>
        <charset val="1"/>
      </rPr>
      <t xml:space="preserve">+ </t>
    </r>
    <r>
      <rPr>
        <sz val="11"/>
        <rFont val="Noto Sans CJK SC"/>
        <family val="2"/>
      </rPr>
      <t xml:space="preserve">광주광역시 주차장현황으로 해결 가능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참고 단서</t>
    </r>
    <r>
      <rPr>
        <sz val="11"/>
        <rFont val="Calibri"/>
        <family val="0"/>
        <charset val="1"/>
      </rPr>
      <t xml:space="preserve">: 2024-08-28 </t>
    </r>
    <r>
      <rPr>
        <sz val="11"/>
        <rFont val="Noto Sans CJK SC"/>
        <family val="2"/>
      </rPr>
      <t xml:space="preserve">보도에 지하 </t>
    </r>
    <r>
      <rPr>
        <sz val="11"/>
        <rFont val="Calibri"/>
        <family val="0"/>
        <charset val="1"/>
      </rPr>
      <t xml:space="preserve">621</t>
    </r>
    <r>
      <rPr>
        <sz val="11"/>
        <rFont val="Noto Sans CJK SC"/>
        <family val="2"/>
      </rPr>
      <t xml:space="preserve">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무등야구장 </t>
    </r>
    <r>
      <rPr>
        <sz val="11"/>
        <rFont val="Calibri"/>
        <family val="0"/>
        <charset val="1"/>
      </rPr>
      <t xml:space="preserve">1,037</t>
    </r>
    <r>
      <rPr>
        <sz val="11"/>
        <rFont val="Noto Sans CJK SC"/>
        <family val="2"/>
      </rPr>
      <t xml:space="preserve">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임동 공영 </t>
    </r>
    <r>
      <rPr>
        <sz val="11"/>
        <rFont val="Calibri"/>
        <family val="0"/>
        <charset val="1"/>
      </rPr>
      <t xml:space="preserve">295</t>
    </r>
    <r>
      <rPr>
        <sz val="11"/>
        <rFont val="Noto Sans CJK SC"/>
        <family val="2"/>
      </rPr>
      <t xml:space="preserve">면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계 </t>
    </r>
    <r>
      <rPr>
        <sz val="11"/>
        <rFont val="Calibri"/>
        <family val="0"/>
        <charset val="1"/>
      </rPr>
      <t xml:space="preserve">1,953</t>
    </r>
    <r>
      <rPr>
        <sz val="11"/>
        <rFont val="Noto Sans CJK SC"/>
        <family val="2"/>
      </rPr>
      <t xml:space="preserve">면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과 유료화 검토안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경기일 </t>
    </r>
    <r>
      <rPr>
        <sz val="11"/>
        <rFont val="Calibri"/>
        <family val="0"/>
        <charset val="1"/>
      </rPr>
      <t xml:space="preserve">3,000~5,000</t>
    </r>
    <r>
      <rPr>
        <sz val="11"/>
        <rFont val="Noto Sans CJK SC"/>
        <family val="2"/>
      </rPr>
      <t xml:space="preserve">원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이 있으나 광주시가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확정된 시책이 아니다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라고 밝혀 확정 입력 불가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</si>
  <si>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https://www.data.go.kr/data/15012896/standard.do / https://www.nocutnews.co.kr/news/6202752 (</t>
    </r>
    <r>
      <rPr>
        <sz val="11"/>
        <rFont val="Noto Sans CJK SC"/>
        <family val="2"/>
      </rPr>
      <t xml:space="preserve">참고용</t>
    </r>
    <r>
      <rPr>
        <sz val="11"/>
        <rFont val="Calibri"/>
        <family val="0"/>
        <charset val="1"/>
      </rPr>
      <t xml:space="preserve">)</t>
    </r>
  </si>
  <si>
    <t xml:space="preserve">JAMSIL</t>
  </si>
  <si>
    <t xml:space="preserve">LG</t>
  </si>
  <si>
    <t xml:space="preserve">SEAT_VIEW_ROOF</t>
  </si>
  <si>
    <r>
      <rPr>
        <sz val="11"/>
        <rFont val="Calibri"/>
        <family val="0"/>
        <charset val="1"/>
      </rPr>
      <t xml:space="preserve">LG </t>
    </r>
    <r>
      <rPr>
        <sz val="11"/>
        <rFont val="Noto Sans CJK SC"/>
        <family val="2"/>
      </rPr>
      <t xml:space="preserve">홈경기 블록별 실제 시야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지붕 범위</t>
    </r>
  </si>
  <si>
    <r>
      <rPr>
        <sz val="11"/>
        <rFont val="Noto Sans CJK SC"/>
        <family val="2"/>
      </rPr>
      <t xml:space="preserve">공식 좌석도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예매화면</t>
    </r>
    <r>
      <rPr>
        <sz val="11"/>
        <rFont val="Calibri"/>
        <family val="0"/>
        <charset val="1"/>
      </rPr>
      <t xml:space="preserve">·VR</t>
    </r>
    <r>
      <rPr>
        <sz val="11"/>
        <rFont val="Noto Sans CJK SC"/>
        <family val="2"/>
      </rPr>
      <t xml:space="preserve">에서 구조화된 블록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열별 지붕 차폐 및 실제 시야 필드를 재검색했으나 텍스트 기준 미확보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</si>
  <si>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공식 이미지</t>
    </r>
    <r>
      <rPr>
        <sz val="11"/>
        <rFont val="Calibri"/>
        <family val="0"/>
        <charset val="1"/>
      </rPr>
      <t xml:space="preserve">/VR </t>
    </r>
    <r>
      <rPr>
        <sz val="11"/>
        <rFont val="Noto Sans CJK SC"/>
        <family val="2"/>
      </rPr>
      <t xml:space="preserve">수동 판독으로 파생값을 만들 수는 있으나 문서가 명시한 공식 구조화 값과는 구분해야 함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</si>
  <si>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LG </t>
    </r>
    <r>
      <rPr>
        <sz val="11"/>
        <rFont val="Noto Sans CJK SC"/>
        <family val="2"/>
      </rPr>
      <t xml:space="preserve">공식 좌석보기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블록별 예매 화면</t>
    </r>
  </si>
  <si>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차에서도 동일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구단 공식 좌석 안내가 이미지</t>
    </r>
    <r>
      <rPr>
        <sz val="11"/>
        <rFont val="Calibri"/>
        <family val="0"/>
        <charset val="1"/>
      </rPr>
      <t xml:space="preserve">·360 VR</t>
    </r>
    <r>
      <rPr>
        <sz val="11"/>
        <rFont val="Noto Sans CJK SC"/>
        <family val="2"/>
      </rPr>
      <t xml:space="preserve">로만 발행되고 블록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열별 지붕 차폐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실제 시야가 텍스트로 구조화되지 않는 구조를 삼성</t>
    </r>
    <r>
      <rPr>
        <sz val="11"/>
        <rFont val="Calibri"/>
        <family val="0"/>
        <charset val="1"/>
      </rPr>
      <t xml:space="preserve">·SSG·KIA·KT·NC 5</t>
    </r>
    <r>
      <rPr>
        <sz val="11"/>
        <rFont val="Noto Sans CJK SC"/>
        <family val="2"/>
      </rPr>
      <t xml:space="preserve">개 구단 페이지 직접 열람으로 확인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개별 구장 누락이 아니라 산업 공통 결손으로 재분류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</si>
  <si>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구단 공식 좌석 안내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이미지 전용</t>
    </r>
    <r>
      <rPr>
        <sz val="11"/>
        <rFont val="Calibri"/>
        <family val="0"/>
        <charset val="1"/>
      </rPr>
      <t xml:space="preserve">) / </t>
    </r>
    <r>
      <rPr>
        <sz val="11"/>
        <rFont val="Noto Sans CJK SC"/>
        <family val="2"/>
      </rPr>
      <t xml:space="preserve">구조적결손분류 시트 </t>
    </r>
    <r>
      <rPr>
        <sz val="11"/>
        <rFont val="Calibri"/>
        <family val="0"/>
        <charset val="1"/>
      </rPr>
      <t xml:space="preserve">STRUCT_SEATVIEW </t>
    </r>
    <r>
      <rPr>
        <sz val="11"/>
        <rFont val="Noto Sans CJK SC"/>
        <family val="2"/>
      </rPr>
      <t xml:space="preserve">참조</t>
    </r>
  </si>
  <si>
    <t xml:space="preserve">DOOSAN</t>
  </si>
  <si>
    <r>
      <rPr>
        <sz val="11"/>
        <rFont val="Noto Sans CJK SC"/>
        <family val="2"/>
      </rPr>
      <t xml:space="preserve">두산 홈경기 블록별 실제 시야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지붕 범위</t>
    </r>
  </si>
  <si>
    <t xml:space="preserve">두산 공식 예매 좌석보기</t>
  </si>
  <si>
    <t xml:space="preserve">MUNHAK</t>
  </si>
  <si>
    <t xml:space="preserve">SSG</t>
  </si>
  <si>
    <r>
      <rPr>
        <sz val="11"/>
        <rFont val="Noto Sans CJK SC"/>
        <family val="2"/>
      </rPr>
      <t xml:space="preserve">구역별 실제 시야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지붕 범위</t>
    </r>
  </si>
  <si>
    <r>
      <rPr>
        <sz val="11"/>
        <rFont val="Calibri"/>
        <family val="0"/>
        <charset val="1"/>
      </rPr>
      <t xml:space="preserve">SSG </t>
    </r>
    <r>
      <rPr>
        <sz val="11"/>
        <rFont val="Noto Sans CJK SC"/>
        <family val="2"/>
      </rPr>
      <t xml:space="preserve">공식 좌석보기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예매 좌석 선택 화면</t>
    </r>
  </si>
  <si>
    <t xml:space="preserve">SUWON</t>
  </si>
  <si>
    <t xml:space="preserve">KT</t>
  </si>
  <si>
    <r>
      <rPr>
        <sz val="11"/>
        <rFont val="Calibri"/>
        <family val="0"/>
        <charset val="1"/>
      </rPr>
      <t xml:space="preserve">KT </t>
    </r>
    <r>
      <rPr>
        <sz val="11"/>
        <rFont val="Noto Sans CJK SC"/>
        <family val="2"/>
      </rPr>
      <t xml:space="preserve">공식 좌석보기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예매 좌석 선택 화면</t>
    </r>
  </si>
  <si>
    <t xml:space="preserve">ROOF_COVERAGE</t>
  </si>
  <si>
    <t xml:space="preserve">구역별 우천 차폐 범위</t>
  </si>
  <si>
    <r>
      <rPr>
        <sz val="11"/>
        <rFont val="Noto Sans CJK SC"/>
        <family val="2"/>
      </rPr>
      <t xml:space="preserve">한화 공식 </t>
    </r>
    <r>
      <rPr>
        <sz val="11"/>
        <rFont val="Calibri"/>
        <family val="0"/>
        <charset val="1"/>
      </rPr>
      <t xml:space="preserve">360</t>
    </r>
    <r>
      <rPr>
        <sz val="11"/>
        <rFont val="Noto Sans CJK SC"/>
        <family val="2"/>
      </rPr>
      <t xml:space="preserve">도 좌석 </t>
    </r>
    <r>
      <rPr>
        <sz val="11"/>
        <rFont val="Calibri"/>
        <family val="0"/>
        <charset val="1"/>
      </rPr>
      <t xml:space="preserve">VR·</t>
    </r>
    <r>
      <rPr>
        <sz val="11"/>
        <rFont val="Noto Sans CJK SC"/>
        <family val="2"/>
      </rPr>
      <t xml:space="preserve">구장 단면 안내</t>
    </r>
  </si>
  <si>
    <r>
      <rPr>
        <sz val="11"/>
        <rFont val="Noto Sans CJK SC"/>
        <family val="2"/>
      </rPr>
      <t xml:space="preserve">삼성 공식 좌석도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예매 좌석 선택 화면</t>
    </r>
  </si>
  <si>
    <r>
      <rPr>
        <sz val="11"/>
        <rFont val="Calibri"/>
        <family val="0"/>
        <charset val="1"/>
      </rPr>
      <t xml:space="preserve">KIA </t>
    </r>
    <r>
      <rPr>
        <sz val="11"/>
        <rFont val="Noto Sans CJK SC"/>
        <family val="2"/>
      </rPr>
      <t xml:space="preserve">공식 좌석도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예매 좌석 선택 화면</t>
    </r>
  </si>
  <si>
    <t xml:space="preserve">SAJIK</t>
  </si>
  <si>
    <t xml:space="preserve">LOTTE</t>
  </si>
  <si>
    <t xml:space="preserve">일반 좌석 구역별 지붕 범위</t>
  </si>
  <si>
    <r>
      <rPr>
        <sz val="11"/>
        <rFont val="Noto Sans CJK SC"/>
        <family val="2"/>
      </rPr>
      <t xml:space="preserve">롯데 공식 좌석도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예매 좌석 선택 화면</t>
    </r>
  </si>
  <si>
    <r>
      <rPr>
        <sz val="11"/>
        <rFont val="Noto Sans CJK SC"/>
        <family val="2"/>
      </rPr>
      <t xml:space="preserve">블록별 실제 시야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지붕 범위</t>
    </r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</si>
  <si>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공식 좌석 선택 화면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경기장 안내</t>
    </r>
  </si>
  <si>
    <t xml:space="preserve">REENTRY</t>
  </si>
  <si>
    <r>
      <rPr>
        <sz val="11"/>
        <rFont val="Calibri"/>
        <family val="0"/>
        <charset val="1"/>
      </rPr>
      <t xml:space="preserve">LG </t>
    </r>
    <r>
      <rPr>
        <sz val="11"/>
        <rFont val="Noto Sans CJK SC"/>
        <family val="2"/>
      </rPr>
      <t xml:space="preserve">홈경기 재입장 허용 여부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절차</t>
    </r>
  </si>
  <si>
    <r>
      <rPr>
        <sz val="11"/>
        <rFont val="Noto Sans CJK SC"/>
        <family val="2"/>
      </rPr>
      <t xml:space="preserve">구단 공식 예매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경기일 안내 및 시설 운영기관 페이지를 재검색했으나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현재 재입장 규정의 명시 문구를 찾지 못함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</si>
  <si>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커뮤니티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블로그 경험담은 공식자료 원칙에 따라 제외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</si>
  <si>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LG </t>
    </r>
    <r>
      <rPr>
        <sz val="11"/>
        <rFont val="Noto Sans CJK SC"/>
        <family val="2"/>
      </rPr>
      <t xml:space="preserve">공식 예매 </t>
    </r>
    <r>
      <rPr>
        <sz val="11"/>
        <rFont val="Calibri"/>
        <family val="0"/>
        <charset val="1"/>
      </rPr>
      <t xml:space="preserve">FAQ·</t>
    </r>
    <r>
      <rPr>
        <sz val="11"/>
        <rFont val="Noto Sans CJK SC"/>
        <family val="2"/>
      </rPr>
      <t xml:space="preserve">경기일 운영 공지</t>
    </r>
  </si>
  <si>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차에서 </t>
    </r>
    <r>
      <rPr>
        <sz val="11"/>
        <rFont val="Calibri"/>
        <family val="0"/>
        <charset val="1"/>
      </rPr>
      <t xml:space="preserve">KBO </t>
    </r>
    <r>
      <rPr>
        <sz val="11"/>
        <rFont val="Noto Sans CJK SC"/>
        <family val="2"/>
      </rPr>
      <t xml:space="preserve">본부 자료까지 확대 검증</t>
    </r>
    <r>
      <rPr>
        <sz val="11"/>
        <rFont val="Calibri"/>
        <family val="0"/>
        <charset val="1"/>
      </rPr>
      <t xml:space="preserve">. KBO </t>
    </r>
    <r>
      <rPr>
        <sz val="11"/>
        <rFont val="Noto Sans CJK SC"/>
        <family val="2"/>
      </rPr>
      <t xml:space="preserve">경기장 안전가이드라인 페이지도 텍스트가 아닌 이미지 그래픽으로만 게시되며 재입장 조항이 없음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한화 공식 </t>
    </r>
    <r>
      <rPr>
        <sz val="11"/>
        <rFont val="Calibri"/>
        <family val="0"/>
        <charset val="1"/>
      </rPr>
      <t xml:space="preserve">FAQ </t>
    </r>
    <r>
      <rPr>
        <sz val="11"/>
        <rFont val="Noto Sans CJK SC"/>
        <family val="2"/>
      </rPr>
      <t xml:space="preserve">전 항목</t>
    </r>
    <r>
      <rPr>
        <sz val="11"/>
        <rFont val="Calibri"/>
        <family val="0"/>
        <charset val="1"/>
      </rPr>
      <t xml:space="preserve">, KT </t>
    </r>
    <r>
      <rPr>
        <sz val="11"/>
        <rFont val="Noto Sans CJK SC"/>
        <family val="2"/>
      </rPr>
      <t xml:space="preserve">입장안내</t>
    </r>
    <r>
      <rPr>
        <sz val="11"/>
        <rFont val="Calibri"/>
        <family val="0"/>
        <charset val="1"/>
      </rPr>
      <t xml:space="preserve">, SSG </t>
    </r>
    <r>
      <rPr>
        <sz val="11"/>
        <rFont val="Noto Sans CJK SC"/>
        <family val="2"/>
      </rPr>
      <t xml:space="preserve">티켓</t>
    </r>
    <r>
      <rPr>
        <sz val="11"/>
        <rFont val="Calibri"/>
        <family val="0"/>
        <charset val="1"/>
      </rPr>
      <t xml:space="preserve">, LG·</t>
    </r>
    <r>
      <rPr>
        <sz val="11"/>
        <rFont val="Noto Sans CJK SC"/>
        <family val="2"/>
      </rPr>
      <t xml:space="preserve">키움 예매안내에도 재입장 문구 없음 → 리그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구단 공통 미발행으로 확정</t>
    </r>
    <r>
      <rPr>
        <sz val="11"/>
        <rFont val="Calibri"/>
        <family val="0"/>
        <charset val="1"/>
      </rPr>
      <t xml:space="preserve">.</t>
    </r>
  </si>
  <si>
    <t xml:space="preserve">https://www.koreabaseball.com/kbo/businessandevent/safeguide.aspx</t>
  </si>
  <si>
    <r>
      <rPr>
        <sz val="11"/>
        <rFont val="Noto Sans CJK SC"/>
        <family val="2"/>
      </rPr>
      <t xml:space="preserve">두산 홈경기 재입장 허용 여부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절차</t>
    </r>
  </si>
  <si>
    <r>
      <rPr>
        <sz val="11"/>
        <rFont val="Noto Sans CJK SC"/>
        <family val="2"/>
      </rPr>
      <t xml:space="preserve">두산 공식 예매 </t>
    </r>
    <r>
      <rPr>
        <sz val="11"/>
        <rFont val="Calibri"/>
        <family val="0"/>
        <charset val="1"/>
      </rPr>
      <t xml:space="preserve">FAQ·</t>
    </r>
    <r>
      <rPr>
        <sz val="11"/>
        <rFont val="Noto Sans CJK SC"/>
        <family val="2"/>
      </rPr>
      <t xml:space="preserve">경기일 운영 공지</t>
    </r>
  </si>
  <si>
    <t xml:space="preserve">GOCHEOK</t>
  </si>
  <si>
    <t xml:space="preserve">KIWOOM</t>
  </si>
  <si>
    <r>
      <rPr>
        <sz val="11"/>
        <rFont val="Noto Sans CJK SC"/>
        <family val="2"/>
      </rPr>
      <t xml:space="preserve">키움 홈경기 재입장 허용 여부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절차</t>
    </r>
  </si>
  <si>
    <r>
      <rPr>
        <sz val="11"/>
        <rFont val="Noto Sans CJK SC"/>
        <family val="2"/>
      </rPr>
      <t xml:space="preserve">서울시설공단 공식 </t>
    </r>
    <r>
      <rPr>
        <sz val="11"/>
        <rFont val="Calibri"/>
        <family val="0"/>
        <charset val="1"/>
      </rPr>
      <t xml:space="preserve">FAQ</t>
    </r>
    <r>
      <rPr>
        <sz val="11"/>
        <rFont val="Noto Sans CJK SC"/>
        <family val="2"/>
      </rPr>
      <t xml:space="preserve">에서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경기장 재입장 시 음식물 반입 불가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를 명시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재입장 자체가 운영됨은 공식 확인 가능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</si>
  <si>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재입장 허용 조건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게이트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인증 방식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가능 시간 등 구체 절차</t>
    </r>
  </si>
  <si>
    <r>
      <rPr>
        <sz val="11"/>
        <rFont val="Noto Sans CJK SC"/>
        <family val="2"/>
      </rPr>
      <t xml:space="preserve">재입장 존재만 확인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음식물 외 조건 및 절차는 공개되지 않음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</si>
  <si>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서울시설공단 공식 </t>
    </r>
    <r>
      <rPr>
        <sz val="11"/>
        <rFont val="Calibri"/>
        <family val="0"/>
        <charset val="1"/>
      </rPr>
      <t xml:space="preserve">FAQ·</t>
    </r>
    <r>
      <rPr>
        <sz val="11"/>
        <rFont val="Noto Sans CJK SC"/>
        <family val="2"/>
      </rPr>
      <t xml:space="preserve">키움 공식 예매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경기일 운영 공지</t>
    </r>
  </si>
  <si>
    <t xml:space="preserve">https://www.sisul.or.kr/open_content/skydome/bbs/bbsMsgDetail.do?bcd=faq&amp;msg_seq=266</t>
  </si>
  <si>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차의 </t>
    </r>
    <r>
      <rPr>
        <sz val="11"/>
        <rFont val="Calibri"/>
        <family val="0"/>
        <charset val="1"/>
      </rPr>
      <t xml:space="preserve">NEW_PARTIAL </t>
    </r>
    <r>
      <rPr>
        <sz val="11"/>
        <rFont val="Noto Sans CJK SC"/>
        <family val="2"/>
      </rPr>
      <t xml:space="preserve">유지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서울시설공단 </t>
    </r>
    <r>
      <rPr>
        <sz val="11"/>
        <rFont val="Calibri"/>
        <family val="0"/>
        <charset val="1"/>
      </rPr>
      <t xml:space="preserve">FAQ</t>
    </r>
    <r>
      <rPr>
        <sz val="11"/>
        <rFont val="Noto Sans CJK SC"/>
        <family val="2"/>
      </rPr>
      <t xml:space="preserve">에서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경기장 재입장 시 음식물 반입 불가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로 재입장 운영 사실만 확인되며</t>
    </r>
    <r>
      <rPr>
        <sz val="11"/>
        <rFont val="Calibri"/>
        <family val="0"/>
        <charset val="1"/>
      </rPr>
      <t xml:space="preserve">, 3</t>
    </r>
    <r>
      <rPr>
        <sz val="11"/>
        <rFont val="Noto Sans CJK SC"/>
        <family val="2"/>
      </rPr>
      <t xml:space="preserve">차에서도 허용조건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게이트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인증 방식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가능 시간은 미발행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다만 서울시설공단 시설현황에서 층별 매점 위치와 주차 </t>
    </r>
    <r>
      <rPr>
        <sz val="11"/>
        <rFont val="Calibri"/>
        <family val="0"/>
        <charset val="1"/>
      </rPr>
      <t xml:space="preserve">484</t>
    </r>
    <r>
      <rPr>
        <sz val="11"/>
        <rFont val="Noto Sans CJK SC"/>
        <family val="2"/>
      </rPr>
      <t xml:space="preserve">면 등 인접 데이터를 신규 확보</t>
    </r>
    <r>
      <rPr>
        <sz val="11"/>
        <rFont val="Calibri"/>
        <family val="0"/>
        <charset val="1"/>
      </rPr>
      <t xml:space="preserve">.</t>
    </r>
  </si>
  <si>
    <t xml:space="preserve">https://www.sisul.or.kr/open_content/skydome/introduce/facility.jsp</t>
  </si>
  <si>
    <r>
      <rPr>
        <sz val="11"/>
        <rFont val="Calibri"/>
        <family val="0"/>
        <charset val="1"/>
      </rPr>
      <t xml:space="preserve">SSG </t>
    </r>
    <r>
      <rPr>
        <sz val="11"/>
        <rFont val="Noto Sans CJK SC"/>
        <family val="2"/>
      </rPr>
      <t xml:space="preserve">홈경기 재입장 허용 여부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절차</t>
    </r>
  </si>
  <si>
    <r>
      <rPr>
        <sz val="11"/>
        <rFont val="Calibri"/>
        <family val="0"/>
        <charset val="1"/>
      </rPr>
      <t xml:space="preserve">SSG </t>
    </r>
    <r>
      <rPr>
        <sz val="11"/>
        <rFont val="Noto Sans CJK SC"/>
        <family val="2"/>
      </rPr>
      <t xml:space="preserve">공식 예매 </t>
    </r>
    <r>
      <rPr>
        <sz val="11"/>
        <rFont val="Calibri"/>
        <family val="0"/>
        <charset val="1"/>
      </rPr>
      <t xml:space="preserve">FAQ·</t>
    </r>
    <r>
      <rPr>
        <sz val="11"/>
        <rFont val="Noto Sans CJK SC"/>
        <family val="2"/>
      </rPr>
      <t xml:space="preserve">경기일 운영 공지</t>
    </r>
  </si>
  <si>
    <r>
      <rPr>
        <sz val="11"/>
        <rFont val="Calibri"/>
        <family val="0"/>
        <charset val="1"/>
      </rPr>
      <t xml:space="preserve">KT </t>
    </r>
    <r>
      <rPr>
        <sz val="11"/>
        <rFont val="Noto Sans CJK SC"/>
        <family val="2"/>
      </rPr>
      <t xml:space="preserve">홈경기 재입장 허용 여부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절차</t>
    </r>
  </si>
  <si>
    <r>
      <rPr>
        <sz val="11"/>
        <rFont val="Calibri"/>
        <family val="0"/>
        <charset val="1"/>
      </rPr>
      <t xml:space="preserve">KT </t>
    </r>
    <r>
      <rPr>
        <sz val="11"/>
        <rFont val="Noto Sans CJK SC"/>
        <family val="2"/>
      </rPr>
      <t xml:space="preserve">공식 예매 </t>
    </r>
    <r>
      <rPr>
        <sz val="11"/>
        <rFont val="Calibri"/>
        <family val="0"/>
        <charset val="1"/>
      </rPr>
      <t xml:space="preserve">FAQ·</t>
    </r>
    <r>
      <rPr>
        <sz val="11"/>
        <rFont val="Noto Sans CJK SC"/>
        <family val="2"/>
      </rPr>
      <t xml:space="preserve">경기일 운영 공지</t>
    </r>
  </si>
  <si>
    <r>
      <rPr>
        <sz val="11"/>
        <rFont val="Noto Sans CJK SC"/>
        <family val="2"/>
      </rPr>
      <t xml:space="preserve">한화 홈경기 재입장 허용 여부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절차</t>
    </r>
  </si>
  <si>
    <r>
      <rPr>
        <sz val="11"/>
        <rFont val="Noto Sans CJK SC"/>
        <family val="2"/>
      </rPr>
      <t xml:space="preserve">한화 공식 예매 </t>
    </r>
    <r>
      <rPr>
        <sz val="11"/>
        <rFont val="Calibri"/>
        <family val="0"/>
        <charset val="1"/>
      </rPr>
      <t xml:space="preserve">FAQ·</t>
    </r>
    <r>
      <rPr>
        <sz val="11"/>
        <rFont val="Noto Sans CJK SC"/>
        <family val="2"/>
      </rPr>
      <t xml:space="preserve">경기일 운영 공지</t>
    </r>
  </si>
  <si>
    <r>
      <rPr>
        <sz val="11"/>
        <rFont val="Noto Sans CJK SC"/>
        <family val="2"/>
      </rPr>
      <t xml:space="preserve">삼성 홈경기 재입장 허용 여부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절차</t>
    </r>
  </si>
  <si>
    <r>
      <rPr>
        <sz val="11"/>
        <rFont val="Noto Sans CJK SC"/>
        <family val="2"/>
      </rPr>
      <t xml:space="preserve">삼성 공식 예매 </t>
    </r>
    <r>
      <rPr>
        <sz val="11"/>
        <rFont val="Calibri"/>
        <family val="0"/>
        <charset val="1"/>
      </rPr>
      <t xml:space="preserve">FAQ·</t>
    </r>
    <r>
      <rPr>
        <sz val="11"/>
        <rFont val="Noto Sans CJK SC"/>
        <family val="2"/>
      </rPr>
      <t xml:space="preserve">경기일 운영 공지</t>
    </r>
  </si>
  <si>
    <r>
      <rPr>
        <sz val="11"/>
        <rFont val="Calibri"/>
        <family val="0"/>
        <charset val="1"/>
      </rPr>
      <t xml:space="preserve">KIA </t>
    </r>
    <r>
      <rPr>
        <sz val="11"/>
        <rFont val="Noto Sans CJK SC"/>
        <family val="2"/>
      </rPr>
      <t xml:space="preserve">홈경기 재입장 허용 여부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절차</t>
    </r>
  </si>
  <si>
    <r>
      <rPr>
        <sz val="11"/>
        <rFont val="Calibri"/>
        <family val="0"/>
        <charset val="1"/>
      </rPr>
      <t xml:space="preserve">KIA </t>
    </r>
    <r>
      <rPr>
        <sz val="11"/>
        <rFont val="Noto Sans CJK SC"/>
        <family val="2"/>
      </rPr>
      <t xml:space="preserve">공식 예매 </t>
    </r>
    <r>
      <rPr>
        <sz val="11"/>
        <rFont val="Calibri"/>
        <family val="0"/>
        <charset val="1"/>
      </rPr>
      <t xml:space="preserve">FAQ·</t>
    </r>
    <r>
      <rPr>
        <sz val="11"/>
        <rFont val="Noto Sans CJK SC"/>
        <family val="2"/>
      </rPr>
      <t xml:space="preserve">경기일 운영 공지</t>
    </r>
  </si>
  <si>
    <r>
      <rPr>
        <sz val="11"/>
        <rFont val="Noto Sans CJK SC"/>
        <family val="2"/>
      </rPr>
      <t xml:space="preserve">롯데 홈경기 재입장 허용 여부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절차</t>
    </r>
  </si>
  <si>
    <r>
      <rPr>
        <sz val="11"/>
        <rFont val="Noto Sans CJK SC"/>
        <family val="2"/>
      </rPr>
      <t xml:space="preserve">롯데 공식 예매 </t>
    </r>
    <r>
      <rPr>
        <sz val="11"/>
        <rFont val="Calibri"/>
        <family val="0"/>
        <charset val="1"/>
      </rPr>
      <t xml:space="preserve">FAQ·</t>
    </r>
    <r>
      <rPr>
        <sz val="11"/>
        <rFont val="Noto Sans CJK SC"/>
        <family val="2"/>
      </rPr>
      <t xml:space="preserve">경기일 운영 공지</t>
    </r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</si>
  <si>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홈경기 재입장 허용 여부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절차</t>
    </r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</si>
  <si>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공식 예매 </t>
    </r>
    <r>
      <rPr>
        <sz val="11"/>
        <rFont val="Calibri"/>
        <family val="0"/>
        <charset val="1"/>
      </rPr>
      <t xml:space="preserve">FAQ·</t>
    </r>
    <r>
      <rPr>
        <sz val="11"/>
        <rFont val="Noto Sans CJK SC"/>
        <family val="2"/>
      </rPr>
      <t xml:space="preserve">경기일 운영 공지</t>
    </r>
  </si>
  <si>
    <r>
      <rPr>
        <b val="true"/>
        <sz val="16"/>
        <color rgb="FFFFFFFF"/>
        <rFont val="Noto Sans CJK SC"/>
        <family val="2"/>
      </rPr>
      <t xml:space="preserve">파일</t>
    </r>
    <r>
      <rPr>
        <b val="true"/>
        <sz val="16"/>
        <color rgb="FFFFFFFF"/>
        <rFont val="Calibri"/>
        <family val="0"/>
        <charset val="1"/>
      </rPr>
      <t xml:space="preserve">2 · F&amp;B/</t>
    </r>
    <r>
      <rPr>
        <b val="true"/>
        <sz val="16"/>
        <color rgb="FFFFFFFF"/>
        <rFont val="Noto Sans CJK SC"/>
        <family val="2"/>
      </rPr>
      <t xml:space="preserve">콘텐츠 </t>
    </r>
    <r>
      <rPr>
        <b val="true"/>
        <sz val="16"/>
        <color rgb="FFFFFFFF"/>
        <rFont val="Calibri"/>
        <family val="0"/>
        <charset val="1"/>
      </rPr>
      <t xml:space="preserve">Backlog </t>
    </r>
    <r>
      <rPr>
        <b val="true"/>
        <sz val="16"/>
        <color rgb="FFFFFFFF"/>
        <rFont val="Noto Sans CJK SC"/>
        <family val="2"/>
      </rPr>
      <t xml:space="preserve">설명</t>
    </r>
  </si>
  <si>
    <t xml:space="preserve">Backlog ID</t>
  </si>
  <si>
    <t xml:space="preserve">구장</t>
  </si>
  <si>
    <t xml:space="preserve">B01</t>
  </si>
  <si>
    <t xml:space="preserve">잠실야구장</t>
  </si>
  <si>
    <r>
      <rPr>
        <sz val="11"/>
        <rFont val="Noto Sans CJK SC"/>
        <family val="2"/>
      </rPr>
      <t xml:space="preserve">세부 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매장별 운영시간</t>
    </r>
    <r>
      <rPr>
        <sz val="11"/>
        <rFont val="Calibri"/>
        <family val="0"/>
        <charset val="1"/>
      </rPr>
      <t xml:space="preserve">·2026 </t>
    </r>
    <r>
      <rPr>
        <sz val="11"/>
        <rFont val="Noto Sans CJK SC"/>
        <family val="2"/>
      </rPr>
      <t xml:space="preserve">상설 포토존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이벤트 통합 안내</t>
    </r>
  </si>
  <si>
    <r>
      <rPr>
        <sz val="11"/>
        <rFont val="Noto Sans CJK SC"/>
        <family val="2"/>
      </rPr>
      <t xml:space="preserve">서울시 잠실야구장 현행 시설 페이지와 </t>
    </r>
    <r>
      <rPr>
        <sz val="11"/>
        <rFont val="Calibri"/>
        <family val="0"/>
        <charset val="1"/>
      </rPr>
      <t xml:space="preserve">LG/</t>
    </r>
    <r>
      <rPr>
        <sz val="11"/>
        <rFont val="Noto Sans CJK SC"/>
        <family val="2"/>
      </rPr>
      <t xml:space="preserve">두산 공식 안내를 재검색했으나 세부 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매장별 시간</t>
    </r>
    <r>
      <rPr>
        <sz val="11"/>
        <rFont val="Calibri"/>
        <family val="0"/>
        <charset val="1"/>
      </rPr>
      <t xml:space="preserve">·2026 </t>
    </r>
    <r>
      <rPr>
        <sz val="11"/>
        <rFont val="Noto Sans CJK SC"/>
        <family val="2"/>
      </rPr>
      <t xml:space="preserve">상설 콘텐츠 통합안내는 없음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</si>
  <si>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두산</t>
    </r>
    <r>
      <rPr>
        <sz val="11"/>
        <rFont val="Calibri"/>
        <family val="0"/>
        <charset val="1"/>
      </rPr>
      <t xml:space="preserve">·LG </t>
    </r>
    <r>
      <rPr>
        <sz val="11"/>
        <rFont val="Noto Sans CJK SC"/>
        <family val="2"/>
      </rPr>
      <t xml:space="preserve">공식 구단소식 및 서울시 체육시설 공지 재확인</t>
    </r>
  </si>
  <si>
    <t xml:space="preserve">https://stadium.seoul.go.kr/about/jsbpark</t>
  </si>
  <si>
    <r>
      <rPr>
        <sz val="11"/>
        <rFont val="Noto Sans CJK SC"/>
        <family val="2"/>
      </rPr>
      <t xml:space="preserve">세부 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매장별 운영시간은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차에서도 미발행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다만 서울시 잠실야구장 시설 페이지에서 좌석 </t>
    </r>
    <r>
      <rPr>
        <sz val="11"/>
        <rFont val="Calibri"/>
        <family val="0"/>
        <charset val="1"/>
      </rPr>
      <t xml:space="preserve">24,411</t>
    </r>
    <r>
      <rPr>
        <sz val="11"/>
        <rFont val="Noto Sans CJK SC"/>
        <family val="2"/>
      </rPr>
      <t xml:space="preserve">석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수용 </t>
    </r>
    <r>
      <rPr>
        <sz val="11"/>
        <rFont val="Calibri"/>
        <family val="0"/>
        <charset val="1"/>
      </rPr>
      <t xml:space="preserve">25,000</t>
    </r>
    <r>
      <rPr>
        <sz val="11"/>
        <rFont val="Noto Sans CJK SC"/>
        <family val="2"/>
      </rPr>
      <t xml:space="preserve">명이 기존 값과 일치함을 확인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교차검증 통과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했고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경기장면적 </t>
    </r>
    <r>
      <rPr>
        <sz val="11"/>
        <rFont val="Calibri"/>
        <family val="0"/>
        <charset val="1"/>
      </rPr>
      <t xml:space="preserve">26,331</t>
    </r>
    <r>
      <rPr>
        <sz val="11"/>
        <rFont val="Noto Sans CJK SC"/>
        <family val="2"/>
      </rPr>
      <t xml:space="preserve">㎡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건축연면적 </t>
    </r>
    <r>
      <rPr>
        <sz val="11"/>
        <rFont val="Calibri"/>
        <family val="0"/>
        <charset val="1"/>
      </rPr>
      <t xml:space="preserve">45,312</t>
    </r>
    <r>
      <rPr>
        <sz val="11"/>
        <rFont val="Noto Sans CJK SC"/>
        <family val="2"/>
      </rPr>
      <t xml:space="preserve">㎡</t>
    </r>
    <r>
      <rPr>
        <sz val="11"/>
        <rFont val="Calibri"/>
        <family val="0"/>
        <charset val="1"/>
      </rPr>
      <t xml:space="preserve">·2000-01-01</t>
    </r>
    <r>
      <rPr>
        <sz val="11"/>
        <rFont val="Noto Sans CJK SC"/>
        <family val="2"/>
      </rPr>
      <t xml:space="preserve">부터 </t>
    </r>
    <r>
      <rPr>
        <sz val="11"/>
        <rFont val="Calibri"/>
        <family val="0"/>
        <charset val="1"/>
      </rPr>
      <t xml:space="preserve">LG</t>
    </r>
    <r>
      <rPr>
        <sz val="11"/>
        <rFont val="Noto Sans CJK SC"/>
        <family val="2"/>
      </rPr>
      <t xml:space="preserve">스포츠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두산베어스 민간위탁을 신규 확보</t>
    </r>
    <r>
      <rPr>
        <sz val="11"/>
        <rFont val="Calibri"/>
        <family val="0"/>
        <charset val="1"/>
      </rPr>
      <t xml:space="preserve">.</t>
    </r>
  </si>
  <si>
    <t xml:space="preserve">B02</t>
  </si>
  <si>
    <t xml:space="preserve">고척스카이돔</t>
  </si>
  <si>
    <r>
      <rPr>
        <sz val="11"/>
        <rFont val="Noto Sans CJK SC"/>
        <family val="2"/>
      </rPr>
      <t xml:space="preserve">서울시설공단 현행 입점업체</t>
    </r>
    <r>
      <rPr>
        <sz val="11"/>
        <rFont val="Calibri"/>
        <family val="0"/>
        <charset val="1"/>
      </rPr>
      <t xml:space="preserve">/FAQ</t>
    </r>
    <r>
      <rPr>
        <sz val="11"/>
        <rFont val="Noto Sans CJK SC"/>
        <family val="2"/>
      </rPr>
      <t xml:space="preserve">를 재확인했으나 음식점 개별 영업시간 표는 확인되지 않음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</si>
  <si>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매점 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종류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점포는 확인 가능하나 개별 운영시간이 없음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</si>
  <si>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서울시설공단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키움의 매장 운영 공지에서 영업시간 재확인</t>
    </r>
  </si>
  <si>
    <t xml:space="preserve">https://www.sisul.or.kr/open_content/skydome/guidance/enterprise.jsp</t>
  </si>
  <si>
    <r>
      <rPr>
        <sz val="11"/>
        <rFont val="Noto Sans CJK SC"/>
        <family val="2"/>
      </rPr>
      <t xml:space="preserve">매장별 영업시간은 여전히 미발행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다만 서울시설공단 시설현황에서 층별 매점 위치</t>
    </r>
    <r>
      <rPr>
        <sz val="11"/>
        <rFont val="Calibri"/>
        <family val="0"/>
        <charset val="1"/>
      </rPr>
      <t xml:space="preserve">(4</t>
    </r>
    <r>
      <rPr>
        <sz val="11"/>
        <rFont val="Noto Sans CJK SC"/>
        <family val="2"/>
      </rPr>
      <t xml:space="preserve">층 매점 </t>
    </r>
    <r>
      <rPr>
        <sz val="11"/>
        <rFont val="Calibri"/>
        <family val="0"/>
        <charset val="1"/>
      </rPr>
      <t xml:space="preserve">/ 3</t>
    </r>
    <r>
      <rPr>
        <sz val="11"/>
        <rFont val="Noto Sans CJK SC"/>
        <family val="2"/>
      </rPr>
      <t xml:space="preserve">층 스카이박스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매점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방송실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아기쉼터 </t>
    </r>
    <r>
      <rPr>
        <sz val="11"/>
        <rFont val="Calibri"/>
        <family val="0"/>
        <charset val="1"/>
      </rPr>
      <t xml:space="preserve">/ 2</t>
    </r>
    <r>
      <rPr>
        <sz val="11"/>
        <rFont val="Noto Sans CJK SC"/>
        <family val="2"/>
      </rPr>
      <t xml:space="preserve">층 매점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귀빈실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아기쉼터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와 주차 </t>
    </r>
    <r>
      <rPr>
        <sz val="11"/>
        <rFont val="Calibri"/>
        <family val="0"/>
        <charset val="1"/>
      </rPr>
      <t xml:space="preserve">484</t>
    </r>
    <r>
      <rPr>
        <sz val="11"/>
        <rFont val="Noto Sans CJK SC"/>
        <family val="2"/>
      </rPr>
      <t xml:space="preserve">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전기차충전소를 신규 확보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관람석 </t>
    </r>
    <r>
      <rPr>
        <sz val="11"/>
        <rFont val="Calibri"/>
        <family val="0"/>
        <charset val="1"/>
      </rPr>
      <t xml:space="preserve">16,601</t>
    </r>
    <r>
      <rPr>
        <sz val="11"/>
        <rFont val="Noto Sans CJK SC"/>
        <family val="2"/>
      </rPr>
      <t xml:space="preserve">석도 기존 값과 일치</t>
    </r>
    <r>
      <rPr>
        <sz val="11"/>
        <rFont val="Calibri"/>
        <family val="0"/>
        <charset val="1"/>
      </rPr>
      <t xml:space="preserve">.</t>
    </r>
  </si>
  <si>
    <t xml:space="preserve">B03</t>
  </si>
  <si>
    <r>
      <rPr>
        <sz val="11"/>
        <rFont val="Noto Sans CJK SC"/>
        <family val="2"/>
      </rPr>
      <t xml:space="preserve">인천 </t>
    </r>
    <r>
      <rPr>
        <sz val="11"/>
        <rFont val="Calibri"/>
        <family val="0"/>
        <charset val="1"/>
      </rPr>
      <t xml:space="preserve">SSG </t>
    </r>
    <r>
      <rPr>
        <sz val="11"/>
        <rFont val="Noto Sans CJK SC"/>
        <family val="2"/>
      </rPr>
      <t xml:space="preserve">랜더스필드</t>
    </r>
  </si>
  <si>
    <r>
      <rPr>
        <sz val="11"/>
        <rFont val="Calibri"/>
        <family val="0"/>
        <charset val="1"/>
      </rPr>
      <t xml:space="preserve">SSG </t>
    </r>
    <r>
      <rPr>
        <sz val="11"/>
        <rFont val="Noto Sans CJK SC"/>
        <family val="2"/>
      </rPr>
      <t xml:space="preserve">공식 구장</t>
    </r>
    <r>
      <rPr>
        <sz val="11"/>
        <rFont val="Calibri"/>
        <family val="0"/>
        <charset val="1"/>
      </rPr>
      <t xml:space="preserve">/2026 </t>
    </r>
    <r>
      <rPr>
        <sz val="11"/>
        <rFont val="Noto Sans CJK SC"/>
        <family val="2"/>
      </rPr>
      <t xml:space="preserve">리뉴얼 자료를 재검색했으나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매장별 영업시간은 구조화해 공개되지 않음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</si>
  <si>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SSG </t>
    </r>
    <r>
      <rPr>
        <sz val="11"/>
        <rFont val="Noto Sans CJK SC"/>
        <family val="2"/>
      </rPr>
      <t xml:space="preserve">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구단 공지에서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개별 운영시간 재확인</t>
    </r>
  </si>
  <si>
    <t xml:space="preserve">https://app.ssglanders.com/stadium</t>
  </si>
  <si>
    <r>
      <rPr>
        <sz val="11"/>
        <rFont val="Calibri"/>
        <family val="0"/>
        <charset val="1"/>
      </rPr>
      <t xml:space="preserve">SSG </t>
    </r>
    <r>
      <rPr>
        <sz val="11"/>
        <rFont val="Noto Sans CJK SC"/>
        <family val="2"/>
      </rPr>
      <t xml:space="preserve">공식 티켓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좌석 페이지가 좌석도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가격표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할인 안내 모두 이미지로만 게시됨을 확인</t>
    </r>
    <r>
      <rPr>
        <sz val="11"/>
        <rFont val="Calibri"/>
        <family val="0"/>
        <charset val="1"/>
      </rPr>
      <t xml:space="preserve">. F&amp;B </t>
    </r>
    <r>
      <rPr>
        <sz val="11"/>
        <rFont val="Noto Sans CJK SC"/>
        <family val="2"/>
      </rPr>
      <t xml:space="preserve">매장별 운영시간은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차에서도 미발행</t>
    </r>
    <r>
      <rPr>
        <sz val="11"/>
        <rFont val="Calibri"/>
        <family val="0"/>
        <charset val="1"/>
      </rPr>
      <t xml:space="preserve">.</t>
    </r>
  </si>
  <si>
    <t xml:space="preserve">https://www.ssglanders.com/game/ticket</t>
  </si>
  <si>
    <t xml:space="preserve">B04</t>
  </si>
  <si>
    <r>
      <rPr>
        <sz val="11"/>
        <rFont val="Noto Sans CJK SC"/>
        <family val="2"/>
      </rPr>
      <t xml:space="preserve">수원 </t>
    </r>
    <r>
      <rPr>
        <sz val="11"/>
        <rFont val="Calibri"/>
        <family val="0"/>
        <charset val="1"/>
      </rPr>
      <t xml:space="preserve">KT </t>
    </r>
    <r>
      <rPr>
        <sz val="11"/>
        <rFont val="Noto Sans CJK SC"/>
        <family val="2"/>
      </rPr>
      <t xml:space="preserve">위즈파크</t>
    </r>
  </si>
  <si>
    <r>
      <rPr>
        <sz val="11"/>
        <rFont val="Noto Sans CJK SC"/>
        <family val="2"/>
      </rPr>
      <t xml:space="preserve">메뉴 상세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매장별 운영시간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상설 포토존</t>
    </r>
  </si>
  <si>
    <r>
      <rPr>
        <sz val="11"/>
        <rFont val="Calibri"/>
        <family val="0"/>
        <charset val="1"/>
      </rPr>
      <t xml:space="preserve">KT </t>
    </r>
    <r>
      <rPr>
        <sz val="11"/>
        <rFont val="Noto Sans CJK SC"/>
        <family val="2"/>
      </rPr>
      <t xml:space="preserve">공식 </t>
    </r>
    <r>
      <rPr>
        <sz val="11"/>
        <rFont val="Calibri"/>
        <family val="0"/>
        <charset val="1"/>
      </rPr>
      <t xml:space="preserve">'2026 kt wiz park F&amp;B </t>
    </r>
    <r>
      <rPr>
        <sz val="11"/>
        <rFont val="Noto Sans CJK SC"/>
        <family val="2"/>
      </rPr>
      <t xml:space="preserve">운영 사업자 입찰공고</t>
    </r>
    <r>
      <rPr>
        <sz val="11"/>
        <rFont val="Calibri"/>
        <family val="0"/>
        <charset val="1"/>
      </rPr>
      <t xml:space="preserve">'(2025-12-30)</t>
    </r>
    <r>
      <rPr>
        <sz val="11"/>
        <rFont val="Noto Sans CJK SC"/>
        <family val="2"/>
      </rPr>
      <t xml:space="preserve">를 추가 확인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</si>
  <si>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최종 입점 매장별 상세 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개별 운영시간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상설 포토존</t>
    </r>
  </si>
  <si>
    <r>
      <rPr>
        <sz val="11"/>
        <rFont val="Noto Sans CJK SC"/>
        <family val="2"/>
      </rPr>
      <t xml:space="preserve">사업자 모집 공고이므로 최종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입점 결과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영업시간을 확정할 수 없음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</si>
  <si>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KT </t>
    </r>
    <r>
      <rPr>
        <sz val="11"/>
        <rFont val="Noto Sans CJK SC"/>
        <family val="2"/>
      </rPr>
      <t xml:space="preserve">공식 이벤트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매장정보 업데이트 재확인</t>
    </r>
  </si>
  <si>
    <t xml:space="preserve">https://www.ktwiz.co.kr/media/wizpress/197753</t>
  </si>
  <si>
    <r>
      <rPr>
        <sz val="11"/>
        <rFont val="Calibri"/>
        <family val="0"/>
        <charset val="1"/>
      </rPr>
      <t xml:space="preserve">KT </t>
    </r>
    <r>
      <rPr>
        <sz val="11"/>
        <rFont val="Noto Sans CJK SC"/>
        <family val="2"/>
      </rPr>
      <t xml:space="preserve">공식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구장 내 매장정보</t>
    </r>
    <r>
      <rPr>
        <sz val="11"/>
        <rFont val="Calibri"/>
        <family val="0"/>
        <charset val="1"/>
      </rPr>
      <t xml:space="preserve">' </t>
    </r>
    <r>
      <rPr>
        <sz val="11"/>
        <rFont val="Noto Sans CJK SC"/>
        <family val="2"/>
      </rPr>
      <t xml:space="preserve">페이지를 직접 열람했으나 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층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안내도 이미지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장이 전부로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메뉴 상세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매장별 운영시간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상설 포토존은 미발행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부수 확보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공식 입장안내에서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경기 시작 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시간 전부터 입장 가능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을 확인 → 구장정보 파일 </t>
    </r>
    <r>
      <rPr>
        <sz val="11"/>
        <rFont val="Calibri"/>
        <family val="0"/>
        <charset val="1"/>
      </rPr>
      <t xml:space="preserve">Team Policies </t>
    </r>
    <r>
      <rPr>
        <sz val="11"/>
        <rFont val="Noto Sans CJK SC"/>
        <family val="2"/>
      </rPr>
      <t xml:space="preserve">신규 반영 대상</t>
    </r>
    <r>
      <rPr>
        <sz val="11"/>
        <rFont val="Calibri"/>
        <family val="0"/>
        <charset val="1"/>
      </rPr>
      <t xml:space="preserve">.</t>
    </r>
  </si>
  <si>
    <t xml:space="preserve">https://www.ktwiz.co.kr/ticket/store / https://www.ktwiz.co.kr/ticket/entrance</t>
  </si>
  <si>
    <t xml:space="preserve">B05</t>
  </si>
  <si>
    <t xml:space="preserve">대전 한화생명 볼파크</t>
  </si>
  <si>
    <r>
      <rPr>
        <sz val="11"/>
        <rFont val="Calibri"/>
        <family val="0"/>
        <charset val="1"/>
      </rPr>
      <t xml:space="preserve">38</t>
    </r>
    <r>
      <rPr>
        <sz val="11"/>
        <rFont val="Noto Sans CJK SC"/>
        <family val="2"/>
      </rPr>
      <t xml:space="preserve">개 매장 개별 브랜드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정확한 위치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전체 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운영시간</t>
    </r>
  </si>
  <si>
    <r>
      <rPr>
        <sz val="11"/>
        <rFont val="Noto Sans CJK SC"/>
        <family val="2"/>
      </rPr>
      <t xml:space="preserve">한화 공식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자료에서 총 </t>
    </r>
    <r>
      <rPr>
        <sz val="11"/>
        <rFont val="Calibri"/>
        <family val="0"/>
        <charset val="1"/>
      </rPr>
      <t xml:space="preserve">38</t>
    </r>
    <r>
      <rPr>
        <sz val="11"/>
        <rFont val="Noto Sans CJK SC"/>
        <family val="2"/>
      </rPr>
      <t xml:space="preserve">개 식음매장 수는 재확인되지만 </t>
    </r>
    <r>
      <rPr>
        <sz val="11"/>
        <rFont val="Calibri"/>
        <family val="0"/>
        <charset val="1"/>
      </rPr>
      <t xml:space="preserve">38</t>
    </r>
    <r>
      <rPr>
        <sz val="11"/>
        <rFont val="Noto Sans CJK SC"/>
        <family val="2"/>
      </rPr>
      <t xml:space="preserve">개 점포 전체의 브랜드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정확 위치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시간 목록은 미공개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</si>
  <si>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한화 공식 </t>
    </r>
    <r>
      <rPr>
        <sz val="11"/>
        <rFont val="Calibri"/>
        <family val="0"/>
        <charset val="1"/>
      </rPr>
      <t xml:space="preserve">SNS·</t>
    </r>
    <r>
      <rPr>
        <sz val="11"/>
        <rFont val="Noto Sans CJK SC"/>
        <family val="2"/>
      </rPr>
      <t xml:space="preserve">구장 신규 안내도에서 </t>
    </r>
    <r>
      <rPr>
        <sz val="11"/>
        <rFont val="Calibri"/>
        <family val="0"/>
        <charset val="1"/>
      </rPr>
      <t xml:space="preserve">38</t>
    </r>
    <r>
      <rPr>
        <sz val="11"/>
        <rFont val="Noto Sans CJK SC"/>
        <family val="2"/>
      </rPr>
      <t xml:space="preserve">개 개별 매장 목록 확인</t>
    </r>
  </si>
  <si>
    <t xml:space="preserve">https://www.hanwhaeagles.co.kr/FA/CN/PCFACN02.do?id=1859</t>
  </si>
  <si>
    <r>
      <rPr>
        <sz val="11"/>
        <rFont val="Noto Sans CJK SC"/>
        <family val="2"/>
      </rPr>
      <t xml:space="preserve">더본코리아 공식 보도자료에서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루측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더본 테이스티</t>
    </r>
    <r>
      <rPr>
        <sz val="11"/>
        <rFont val="Calibri"/>
        <family val="0"/>
        <charset val="1"/>
      </rPr>
      <t xml:space="preserve">' 8</t>
    </r>
    <r>
      <rPr>
        <sz val="11"/>
        <rFont val="Noto Sans CJK SC"/>
        <family val="2"/>
      </rPr>
      <t xml:space="preserve">개 브랜드 실명 확보 — 빽다방빵연구소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새마을식당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역전우동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빽보이피자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한신포차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연돈볼카츠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백스비어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고투웍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대표 메뉴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종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최강한화 홈런볼빵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컵 우동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비빔면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홈플레이트 세트메뉴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도 확인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아라마크는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루측에서 미국식 핫도그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햄버거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나초 운영</t>
    </r>
    <r>
      <rPr>
        <sz val="11"/>
        <rFont val="Calibri"/>
        <family val="0"/>
        <charset val="1"/>
      </rPr>
      <t xml:space="preserve">. ※ </t>
    </r>
    <r>
      <rPr>
        <sz val="11"/>
        <rFont val="Noto Sans CJK SC"/>
        <family val="2"/>
      </rPr>
      <t xml:space="preserve">보도자료가 </t>
    </r>
    <r>
      <rPr>
        <sz val="11"/>
        <rFont val="Calibri"/>
        <family val="0"/>
        <charset val="1"/>
      </rPr>
      <t xml:space="preserve">2025-03-04 </t>
    </r>
    <r>
      <rPr>
        <sz val="11"/>
        <rFont val="Noto Sans CJK SC"/>
        <family val="2"/>
      </rPr>
      <t xml:space="preserve">기준이라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유지 여부 재확인 필요</t>
    </r>
    <r>
      <rPr>
        <sz val="11"/>
        <rFont val="Calibri"/>
        <family val="0"/>
        <charset val="1"/>
      </rPr>
      <t xml:space="preserve">. 38</t>
    </r>
    <r>
      <rPr>
        <sz val="11"/>
        <rFont val="Noto Sans CJK SC"/>
        <family val="2"/>
      </rPr>
      <t xml:space="preserve">개 전체 목록과 운영시간은 여전히 미발행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</si>
  <si>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https://www.theborn.co.kr (</t>
    </r>
    <r>
      <rPr>
        <sz val="11"/>
        <rFont val="Noto Sans CJK SC"/>
        <family val="2"/>
      </rPr>
      <t xml:space="preserve">더본코리아 공식</t>
    </r>
    <r>
      <rPr>
        <sz val="11"/>
        <rFont val="Calibri"/>
        <family val="0"/>
        <charset val="1"/>
      </rPr>
      <t xml:space="preserve">, 2025-03-04) / https://isplus.com/article/view/isp202502180074</t>
    </r>
  </si>
  <si>
    <t xml:space="preserve">B06</t>
  </si>
  <si>
    <t xml:space="preserve">대구 삼성 라이온즈파크</t>
  </si>
  <si>
    <r>
      <rPr>
        <sz val="11"/>
        <rFont val="Noto Sans CJK SC"/>
        <family val="2"/>
      </rPr>
      <t xml:space="preserve">전체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브랜드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위치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개별 운영시간</t>
    </r>
    <r>
      <rPr>
        <sz val="11"/>
        <rFont val="Calibri"/>
        <family val="0"/>
        <charset val="1"/>
      </rPr>
      <t xml:space="preserve">(HOUSE OF LIONS </t>
    </r>
    <r>
      <rPr>
        <sz val="11"/>
        <rFont val="Noto Sans CJK SC"/>
        <family val="2"/>
      </rPr>
      <t xml:space="preserve">외</t>
    </r>
    <r>
      <rPr>
        <sz val="11"/>
        <rFont val="Calibri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</si>
  <si>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삼성 공식 </t>
    </r>
    <r>
      <rPr>
        <sz val="11"/>
        <rFont val="Calibri"/>
        <family val="0"/>
        <charset val="1"/>
      </rPr>
      <t xml:space="preserve">'2027-2031</t>
    </r>
    <r>
      <rPr>
        <sz val="11"/>
        <rFont val="Noto Sans CJK SC"/>
        <family val="2"/>
      </rPr>
      <t xml:space="preserve">년 라이온즈파크 식음매장 운영사업 입찰공고</t>
    </r>
    <r>
      <rPr>
        <sz val="11"/>
        <rFont val="Calibri"/>
        <family val="0"/>
        <charset val="1"/>
      </rPr>
      <t xml:space="preserve">'(2026-08-12)</t>
    </r>
    <r>
      <rPr>
        <sz val="11"/>
        <rFont val="Noto Sans CJK SC"/>
        <family val="2"/>
      </rPr>
      <t xml:space="preserve">를 추가 확인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</si>
  <si>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현재 전체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브랜드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위치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개별 운영시간</t>
    </r>
    <r>
      <rPr>
        <sz val="11"/>
        <rFont val="Calibri"/>
        <family val="0"/>
        <charset val="1"/>
      </rPr>
      <t xml:space="preserve">(HOUSE OF LIONS </t>
    </r>
    <r>
      <rPr>
        <sz val="11"/>
        <rFont val="Noto Sans CJK SC"/>
        <family val="2"/>
      </rPr>
      <t xml:space="preserve">외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</si>
  <si>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2027</t>
    </r>
    <r>
      <rPr>
        <sz val="11"/>
        <rFont val="Noto Sans CJK SC"/>
        <family val="2"/>
      </rPr>
      <t xml:space="preserve">년 이후 사업자 선정용 미래 공고라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현재 입점 정보를 대체하지 못함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</si>
  <si>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삼성 구단 안내도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운영사 신규 공지에서 전체 입점업체 확인</t>
    </r>
  </si>
  <si>
    <t xml:space="preserve">https://www.samsunglions.com/intro/intro02.asp?act=view&amp;idx=1017311</t>
  </si>
  <si>
    <r>
      <rPr>
        <sz val="11"/>
        <rFont val="Noto Sans CJK SC"/>
        <family val="2"/>
      </rPr>
      <t xml:space="preserve">공식 운영사 삼성웰스토리 자료에서 </t>
    </r>
    <r>
      <rPr>
        <sz val="11"/>
        <rFont val="Calibri"/>
        <family val="0"/>
        <charset val="1"/>
      </rPr>
      <t xml:space="preserve">'HOUSE OF LIONS' 2026 </t>
    </r>
    <r>
      <rPr>
        <sz val="11"/>
        <rFont val="Noto Sans CJK SC"/>
        <family val="2"/>
      </rPr>
      <t xml:space="preserve">상세 확보 —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층 외부 매장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약 </t>
    </r>
    <r>
      <rPr>
        <sz val="11"/>
        <rFont val="Calibri"/>
        <family val="0"/>
        <charset val="1"/>
      </rPr>
      <t xml:space="preserve">100</t>
    </r>
    <r>
      <rPr>
        <sz val="11"/>
        <rFont val="Noto Sans CJK SC"/>
        <family val="2"/>
      </rPr>
      <t xml:space="preserve">석</t>
    </r>
    <r>
      <rPr>
        <sz val="11"/>
        <rFont val="Calibri"/>
        <family val="0"/>
        <charset val="1"/>
      </rPr>
      <t xml:space="preserve">, 2026-03-21 </t>
    </r>
    <r>
      <rPr>
        <sz val="11"/>
        <rFont val="Noto Sans CJK SC"/>
        <family val="2"/>
      </rPr>
      <t xml:space="preserve">공식 오픈</t>
    </r>
    <r>
      <rPr>
        <sz val="11"/>
        <rFont val="Calibri"/>
        <family val="0"/>
        <charset val="1"/>
      </rPr>
      <t xml:space="preserve">. 4</t>
    </r>
    <r>
      <rPr>
        <sz val="11"/>
        <rFont val="Noto Sans CJK SC"/>
        <family val="2"/>
      </rPr>
      <t xml:space="preserve">개 존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선수 특화 </t>
    </r>
    <r>
      <rPr>
        <sz val="11"/>
        <rFont val="Calibri"/>
        <family val="0"/>
        <charset val="1"/>
      </rPr>
      <t xml:space="preserve">Zone(</t>
    </r>
    <r>
      <rPr>
        <sz val="11"/>
        <rFont val="Noto Sans CJK SC"/>
        <family val="2"/>
      </rPr>
      <t xml:space="preserve">선수 히스토리 테이블</t>
    </r>
    <r>
      <rPr>
        <sz val="11"/>
        <rFont val="Calibri"/>
        <family val="0"/>
        <charset val="1"/>
      </rPr>
      <t xml:space="preserve">), </t>
    </r>
    <r>
      <rPr>
        <sz val="11"/>
        <rFont val="Noto Sans CJK SC"/>
        <family val="2"/>
      </rPr>
      <t xml:space="preserve">헤리티지 </t>
    </r>
    <r>
      <rPr>
        <sz val="11"/>
        <rFont val="Calibri"/>
        <family val="0"/>
        <charset val="1"/>
      </rPr>
      <t xml:space="preserve">Zone(Historic Wall), </t>
    </r>
    <r>
      <rPr>
        <sz val="11"/>
        <rFont val="Noto Sans CJK SC"/>
        <family val="2"/>
      </rPr>
      <t xml:space="preserve">응원 </t>
    </r>
    <r>
      <rPr>
        <sz val="11"/>
        <rFont val="Calibri"/>
        <family val="0"/>
        <charset val="1"/>
      </rPr>
      <t xml:space="preserve">Zone(360</t>
    </r>
    <r>
      <rPr>
        <sz val="11"/>
        <rFont val="Noto Sans CJK SC"/>
        <family val="2"/>
      </rPr>
      <t xml:space="preserve">도 대형 스크린</t>
    </r>
    <r>
      <rPr>
        <sz val="11"/>
        <rFont val="Calibri"/>
        <family val="0"/>
        <charset val="1"/>
      </rPr>
      <t xml:space="preserve">), CX Zone(Fan Voice </t>
    </r>
    <r>
      <rPr>
        <sz val="11"/>
        <rFont val="Noto Sans CJK SC"/>
        <family val="2"/>
      </rPr>
      <t xml:space="preserve">보드</t>
    </r>
    <r>
      <rPr>
        <sz val="11"/>
        <rFont val="Calibri"/>
        <family val="0"/>
        <charset val="1"/>
      </rPr>
      <t xml:space="preserve">·Post Box·3D </t>
    </r>
    <r>
      <rPr>
        <sz val="11"/>
        <rFont val="Noto Sans CJK SC"/>
        <family val="2"/>
      </rPr>
      <t xml:space="preserve">피규어 포토부스</t>
    </r>
    <r>
      <rPr>
        <sz val="11"/>
        <rFont val="Calibri"/>
        <family val="0"/>
        <charset val="1"/>
      </rPr>
      <t xml:space="preserve">). </t>
    </r>
    <r>
      <rPr>
        <sz val="11"/>
        <rFont val="Noto Sans CJK SC"/>
        <family val="2"/>
      </rPr>
      <t xml:space="preserve">시그니처 메뉴 </t>
    </r>
    <r>
      <rPr>
        <sz val="11"/>
        <rFont val="Calibri"/>
        <family val="0"/>
        <charset val="1"/>
      </rPr>
      <t xml:space="preserve">7</t>
    </r>
    <r>
      <rPr>
        <sz val="11"/>
        <rFont val="Noto Sans CJK SC"/>
        <family val="2"/>
      </rPr>
      <t xml:space="preserve">종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왕조재건 </t>
    </r>
    <r>
      <rPr>
        <sz val="11"/>
        <rFont val="Calibri"/>
        <family val="0"/>
        <charset val="1"/>
      </rPr>
      <t xml:space="preserve">V9 </t>
    </r>
    <r>
      <rPr>
        <sz val="11"/>
        <rFont val="Noto Sans CJK SC"/>
        <family val="2"/>
      </rPr>
      <t xml:space="preserve">플래터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라이온즈 핫 블루치즈버거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강민호 </t>
    </r>
    <r>
      <rPr>
        <sz val="11"/>
        <rFont val="Calibri"/>
        <family val="0"/>
        <charset val="1"/>
      </rPr>
      <t xml:space="preserve">'Nice catch' </t>
    </r>
    <r>
      <rPr>
        <sz val="11"/>
        <rFont val="Noto Sans CJK SC"/>
        <family val="2"/>
      </rPr>
      <t xml:space="preserve">미트 샌드위치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원태인 </t>
    </r>
    <r>
      <rPr>
        <sz val="11"/>
        <rFont val="Calibri"/>
        <family val="0"/>
        <charset val="1"/>
      </rPr>
      <t xml:space="preserve">PICK! </t>
    </r>
    <r>
      <rPr>
        <sz val="11"/>
        <rFont val="Noto Sans CJK SC"/>
        <family val="2"/>
      </rPr>
      <t xml:space="preserve">막창타코</t>
    </r>
    <r>
      <rPr>
        <sz val="11"/>
        <rFont val="Calibri"/>
        <family val="0"/>
        <charset val="1"/>
      </rPr>
      <t xml:space="preserve">, Blue Wave Mocktail, </t>
    </r>
    <r>
      <rPr>
        <sz val="11"/>
        <rFont val="Noto Sans CJK SC"/>
        <family val="2"/>
      </rPr>
      <t xml:space="preserve">버터스카치 크림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자욱</t>
    </r>
    <r>
      <rPr>
        <sz val="11"/>
        <rFont val="Calibri"/>
        <family val="0"/>
        <charset val="1"/>
      </rPr>
      <t xml:space="preserve">' </t>
    </r>
    <r>
      <rPr>
        <sz val="11"/>
        <rFont val="Noto Sans CJK SC"/>
        <family val="2"/>
      </rPr>
      <t xml:space="preserve">스타우트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하</t>
    </r>
    <r>
      <rPr>
        <sz val="11"/>
        <rFont val="Calibri"/>
        <family val="0"/>
        <charset val="1"/>
      </rPr>
      <t xml:space="preserve">.</t>
    </r>
    <r>
      <rPr>
        <sz val="11"/>
        <rFont val="Noto Sans CJK SC"/>
        <family val="2"/>
      </rPr>
      <t xml:space="preserve">오</t>
    </r>
    <r>
      <rPr>
        <sz val="11"/>
        <rFont val="Calibri"/>
        <family val="0"/>
        <charset val="1"/>
      </rPr>
      <t xml:space="preserve">.</t>
    </r>
    <r>
      <rPr>
        <sz val="11"/>
        <rFont val="Noto Sans CJK SC"/>
        <family val="2"/>
      </rPr>
      <t xml:space="preserve">라 </t>
    </r>
    <r>
      <rPr>
        <sz val="11"/>
        <rFont val="Calibri"/>
        <family val="0"/>
        <charset val="1"/>
      </rPr>
      <t xml:space="preserve">Cocktail). ※ </t>
    </r>
    <r>
      <rPr>
        <sz val="11"/>
        <rFont val="Noto Sans CJK SC"/>
        <family val="2"/>
      </rPr>
      <t xml:space="preserve">가격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운영시간 미표기</t>
    </r>
    <r>
      <rPr>
        <sz val="11"/>
        <rFont val="Calibri"/>
        <family val="0"/>
        <charset val="1"/>
      </rPr>
      <t xml:space="preserve">. HOUSE OF LIONS </t>
    </r>
    <r>
      <rPr>
        <sz val="11"/>
        <rFont val="Noto Sans CJK SC"/>
        <family val="2"/>
      </rPr>
      <t xml:space="preserve">외 전체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브랜드는 여전히 미발행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</si>
  <si>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https://www.story-w.co.kr/story-w/3721/Basball_HouseofLions (</t>
    </r>
    <r>
      <rPr>
        <sz val="11"/>
        <rFont val="Noto Sans CJK SC"/>
        <family val="2"/>
      </rPr>
      <t xml:space="preserve">운영사 공식</t>
    </r>
    <r>
      <rPr>
        <sz val="11"/>
        <rFont val="Calibri"/>
        <family val="0"/>
        <charset val="1"/>
      </rPr>
      <t xml:space="preserve">, 2026-03-27)</t>
    </r>
  </si>
  <si>
    <t xml:space="preserve">B07</t>
  </si>
  <si>
    <r>
      <rPr>
        <sz val="11"/>
        <rFont val="Noto Sans CJK SC"/>
        <family val="2"/>
      </rPr>
      <t xml:space="preserve">광주</t>
    </r>
    <r>
      <rPr>
        <sz val="11"/>
        <rFont val="Calibri"/>
        <family val="0"/>
        <charset val="1"/>
      </rPr>
      <t xml:space="preserve">-</t>
    </r>
    <r>
      <rPr>
        <sz val="11"/>
        <rFont val="Noto Sans CJK SC"/>
        <family val="2"/>
      </rPr>
      <t xml:space="preserve">기아 챔피언스필드</t>
    </r>
  </si>
  <si>
    <r>
      <rPr>
        <sz val="11"/>
        <rFont val="Noto Sans CJK SC"/>
        <family val="2"/>
      </rPr>
      <t xml:space="preserve">세부 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매장별 운영시간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상설 포토존</t>
    </r>
  </si>
  <si>
    <r>
      <rPr>
        <sz val="11"/>
        <rFont val="Calibri"/>
        <family val="0"/>
        <charset val="1"/>
      </rPr>
      <t xml:space="preserve">KIA </t>
    </r>
    <r>
      <rPr>
        <sz val="11"/>
        <rFont val="Noto Sans CJK SC"/>
        <family val="2"/>
      </rPr>
      <t xml:space="preserve">공식 시설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이벤트 자료를 재검색했으나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세부 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개별 시간과 상설 포토존을 함께 확정할 최신 안내는 없음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</si>
  <si>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KIA </t>
    </r>
    <r>
      <rPr>
        <sz val="11"/>
        <rFont val="Noto Sans CJK SC"/>
        <family val="2"/>
      </rPr>
      <t xml:space="preserve">시설 안내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식음 운영 공지에서 상설</t>
    </r>
    <r>
      <rPr>
        <sz val="11"/>
        <rFont val="Calibri"/>
        <family val="0"/>
        <charset val="1"/>
      </rPr>
      <t xml:space="preserve">·F&amp;B </t>
    </r>
    <r>
      <rPr>
        <sz val="11"/>
        <rFont val="Noto Sans CJK SC"/>
        <family val="2"/>
      </rPr>
      <t xml:space="preserve">상세 재확인</t>
    </r>
  </si>
  <si>
    <t xml:space="preserve">https://tigers.co.kr/tigers/champions-field/facility-guide</t>
  </si>
  <si>
    <r>
      <rPr>
        <sz val="11"/>
        <rFont val="Calibri"/>
        <family val="0"/>
        <charset val="1"/>
      </rPr>
      <t xml:space="preserve">KIA </t>
    </r>
    <r>
      <rPr>
        <sz val="11"/>
        <rFont val="Noto Sans CJK SC"/>
        <family val="2"/>
      </rPr>
      <t xml:space="preserve">공식 시설안내가 관람석 사진 갤러리로만 구성돼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세부 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매장별 운영시간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상설 포토존이 모두 미발행임을 재확인</t>
    </r>
    <r>
      <rPr>
        <sz val="11"/>
        <rFont val="Calibri"/>
        <family val="0"/>
        <charset val="1"/>
      </rPr>
      <t xml:space="preserve">.</t>
    </r>
  </si>
  <si>
    <t xml:space="preserve">B08</t>
  </si>
  <si>
    <t xml:space="preserve">사직야구장</t>
  </si>
  <si>
    <r>
      <rPr>
        <sz val="11"/>
        <rFont val="Noto Sans CJK SC"/>
        <family val="2"/>
      </rPr>
      <t xml:space="preserve">식음매장 세부 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개별 운영시간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상설 포토존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이벤트</t>
    </r>
  </si>
  <si>
    <r>
      <rPr>
        <sz val="11"/>
        <rFont val="Noto Sans CJK SC"/>
        <family val="2"/>
      </rPr>
      <t xml:space="preserve">롯데 공식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안내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홈경기 매장 페이지를 재확인했으나 전체 상세 메뉴와 상설 콘텐츠 통합 데이터는 부족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</si>
  <si>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템플릿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예시성으로 보이는 값은 실제 매장 데이터로 확정하지 않음</t>
    </r>
    <r>
      <rPr>
        <sz val="11"/>
        <rFont val="Calibri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</si>
  <si>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롯데 공식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공지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매장별 운영 안내 추가 공개 여부 재확인</t>
    </r>
  </si>
  <si>
    <t xml:space="preserve">https://www.giantsclub.com/html/?pcode=909</t>
  </si>
  <si>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시즌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전면 개편 내용 확보 — 신규 입점 </t>
    </r>
    <r>
      <rPr>
        <sz val="11"/>
        <rFont val="Calibri"/>
        <family val="0"/>
        <charset val="1"/>
      </rPr>
      <t xml:space="preserve">5</t>
    </r>
    <r>
      <rPr>
        <sz val="11"/>
        <rFont val="Noto Sans CJK SC"/>
        <family val="2"/>
      </rPr>
      <t xml:space="preserve">곳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송헌집</t>
    </r>
    <r>
      <rPr>
        <sz val="11"/>
        <rFont val="Calibri"/>
        <family val="0"/>
        <charset val="1"/>
      </rPr>
      <t xml:space="preserve">(2026 </t>
    </r>
    <r>
      <rPr>
        <sz val="11"/>
        <rFont val="Noto Sans CJK SC"/>
        <family val="2"/>
      </rPr>
      <t xml:space="preserve">부산 미슐랭 가이드 셀렉티드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프리미엄 숯불 소시지</t>
    </r>
    <r>
      <rPr>
        <sz val="11"/>
        <rFont val="Calibri"/>
        <family val="0"/>
        <charset val="1"/>
      </rPr>
      <t xml:space="preserve">), </t>
    </r>
    <r>
      <rPr>
        <sz val="11"/>
        <rFont val="Noto Sans CJK SC"/>
        <family val="2"/>
      </rPr>
      <t xml:space="preserve">박수식당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한우육회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젓갈김밥</t>
    </r>
    <r>
      <rPr>
        <sz val="11"/>
        <rFont val="Calibri"/>
        <family val="0"/>
        <charset val="1"/>
      </rPr>
      <t xml:space="preserve">), </t>
    </r>
    <r>
      <rPr>
        <sz val="11"/>
        <rFont val="Noto Sans CJK SC"/>
        <family val="2"/>
      </rPr>
      <t xml:space="preserve">상하이마라꼬치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스탠브루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롯데</t>
    </r>
    <r>
      <rPr>
        <sz val="11"/>
        <rFont val="Calibri"/>
        <family val="0"/>
        <charset val="1"/>
      </rPr>
      <t xml:space="preserve">GRS </t>
    </r>
    <r>
      <rPr>
        <sz val="11"/>
        <rFont val="Noto Sans CJK SC"/>
        <family val="2"/>
      </rPr>
      <t xml:space="preserve">커피 부산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호점</t>
    </r>
    <r>
      <rPr>
        <sz val="11"/>
        <rFont val="Calibri"/>
        <family val="0"/>
        <charset val="1"/>
      </rPr>
      <t xml:space="preserve">), </t>
    </r>
    <r>
      <rPr>
        <sz val="11"/>
        <rFont val="Noto Sans CJK SC"/>
        <family val="2"/>
      </rPr>
      <t xml:space="preserve">계란빵클럽</t>
    </r>
    <r>
      <rPr>
        <sz val="11"/>
        <rFont val="Calibri"/>
        <family val="0"/>
        <charset val="1"/>
      </rPr>
      <t xml:space="preserve">. QR </t>
    </r>
    <r>
      <rPr>
        <sz val="11"/>
        <rFont val="Noto Sans CJK SC"/>
        <family val="2"/>
      </rPr>
      <t xml:space="preserve">스마트 오더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배리어프리 키오스크 도입</t>
    </r>
    <r>
      <rPr>
        <sz val="11"/>
        <rFont val="Calibri"/>
        <family val="0"/>
        <charset val="1"/>
      </rPr>
      <t xml:space="preserve">. ※ </t>
    </r>
    <r>
      <rPr>
        <sz val="11"/>
        <rFont val="Noto Sans CJK SC"/>
        <family val="2"/>
      </rPr>
      <t xml:space="preserve">층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구역 및 매장별 운영시간은 미기재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보너스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기존 </t>
    </r>
    <r>
      <rPr>
        <sz val="11"/>
        <rFont val="Calibri"/>
        <family val="0"/>
        <charset val="1"/>
      </rPr>
      <t xml:space="preserve">Validation</t>
    </r>
    <r>
      <rPr>
        <sz val="11"/>
        <rFont val="Noto Sans CJK SC"/>
        <family val="2"/>
      </rPr>
      <t xml:space="preserve">의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송현집→송헌집</t>
    </r>
    <r>
      <rPr>
        <sz val="11"/>
        <rFont val="Calibri"/>
        <family val="0"/>
        <charset val="1"/>
      </rPr>
      <t xml:space="preserve">' </t>
    </r>
    <r>
      <rPr>
        <sz val="11"/>
        <rFont val="Noto Sans CJK SC"/>
        <family val="2"/>
      </rPr>
      <t xml:space="preserve">오탈자 수정이 본 자료로 재확인됨</t>
    </r>
    <r>
      <rPr>
        <sz val="11"/>
        <rFont val="Calibri"/>
        <family val="0"/>
        <charset val="1"/>
      </rPr>
      <t xml:space="preserve">.</t>
    </r>
  </si>
  <si>
    <t xml:space="preserve">https://www.edaily.co.kr/News/Read?newsId=03690006645387256&amp;mediaCodeNo=257 (2026-03-26)</t>
  </si>
  <si>
    <t xml:space="preserve">B09</t>
  </si>
  <si>
    <r>
      <rPr>
        <sz val="11"/>
        <rFont val="Noto Sans CJK SC"/>
        <family val="2"/>
      </rPr>
      <t xml:space="preserve">창원 </t>
    </r>
    <r>
      <rPr>
        <sz val="11"/>
        <rFont val="Calibri"/>
        <family val="0"/>
        <charset val="1"/>
      </rPr>
      <t xml:space="preserve">NC</t>
    </r>
    <r>
      <rPr>
        <sz val="11"/>
        <rFont val="Noto Sans CJK SC"/>
        <family val="2"/>
      </rPr>
      <t xml:space="preserve">파크</t>
    </r>
  </si>
  <si>
    <r>
      <rPr>
        <sz val="11"/>
        <rFont val="Noto Sans CJK SC"/>
        <family val="2"/>
      </rPr>
      <t xml:space="preserve">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매장별 운영시간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상설 포토존</t>
    </r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</si>
  <si>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공식 </t>
    </r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구장 안내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이벤트 자료를 재검색했으나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매장별 시간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상설 포토존은 미확보</t>
    </r>
    <r>
      <rPr>
        <sz val="11"/>
        <rFont val="Calibri"/>
        <family val="0"/>
        <charset val="1"/>
      </rPr>
      <t xml:space="preserve">.</t>
    </r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</si>
  <si>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구장안내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앱 식음료 정보의 시즌별 업데이트 재확인</t>
    </r>
  </si>
  <si>
    <t xml:space="preserve">https://www.ncdinos.com/dinos/stadium.do</t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</si>
  <si>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공식 예매 안내가 </t>
    </r>
    <r>
      <rPr>
        <sz val="11"/>
        <rFont val="Calibri"/>
        <family val="0"/>
        <charset val="1"/>
      </rPr>
      <t xml:space="preserve">1080×5442px </t>
    </r>
    <r>
      <rPr>
        <sz val="11"/>
        <rFont val="Noto Sans CJK SC"/>
        <family val="2"/>
      </rPr>
      <t xml:space="preserve">이미지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장으로만 게시됨을 확인</t>
    </r>
    <r>
      <rPr>
        <sz val="11"/>
        <rFont val="Calibri"/>
        <family val="0"/>
        <charset val="1"/>
      </rPr>
      <t xml:space="preserve">. F&amp;B </t>
    </r>
    <r>
      <rPr>
        <sz val="11"/>
        <rFont val="Noto Sans CJK SC"/>
        <family val="2"/>
      </rPr>
      <t xml:space="preserve">메뉴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매장별 운영시간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상설 포토존은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차에서도 미발행</t>
    </r>
    <r>
      <rPr>
        <sz val="11"/>
        <rFont val="Calibri"/>
        <family val="0"/>
        <charset val="1"/>
      </rPr>
      <t xml:space="preserve">.</t>
    </r>
  </si>
  <si>
    <r>
      <rPr>
        <b val="true"/>
        <sz val="16"/>
        <color rgb="FFFFFFFF"/>
        <rFont val="Calibri"/>
        <family val="0"/>
        <charset val="1"/>
      </rPr>
      <t xml:space="preserve">3</t>
    </r>
    <r>
      <rPr>
        <b val="true"/>
        <sz val="16"/>
        <color rgb="FFFFFFFF"/>
        <rFont val="Noto Sans CJK SC"/>
        <family val="2"/>
      </rPr>
      <t xml:space="preserve">차 재검증 신규 확보 데이터 — 본 데이터셋 반영 후보</t>
    </r>
  </si>
  <si>
    <r>
      <rPr>
        <i val="true"/>
        <sz val="10"/>
        <rFont val="Calibri"/>
        <family val="0"/>
        <charset val="1"/>
      </rPr>
      <t xml:space="preserve">Backlog </t>
    </r>
    <r>
      <rPr>
        <i val="true"/>
        <sz val="10"/>
        <rFont val="Noto Sans CJK SC"/>
        <family val="2"/>
      </rPr>
      <t xml:space="preserve">항목 자체는 아니지만 </t>
    </r>
    <r>
      <rPr>
        <i val="true"/>
        <sz val="10"/>
        <rFont val="Calibri"/>
        <family val="0"/>
        <charset val="1"/>
      </rPr>
      <t xml:space="preserve">3</t>
    </r>
    <r>
      <rPr>
        <i val="true"/>
        <sz val="10"/>
        <rFont val="Noto Sans CJK SC"/>
        <family val="2"/>
      </rPr>
      <t xml:space="preserve">차 조사에서 공식 근거로 새로 확인된 값입니다</t>
    </r>
    <r>
      <rPr>
        <i val="true"/>
        <sz val="10"/>
        <rFont val="Calibri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구장정보</t>
    </r>
    <r>
      <rPr>
        <i val="true"/>
        <sz val="10"/>
        <rFont val="Calibri"/>
        <family val="0"/>
        <charset val="1"/>
      </rPr>
      <t xml:space="preserve">/F&amp;B </t>
    </r>
    <r>
      <rPr>
        <i val="true"/>
        <sz val="10"/>
        <rFont val="Noto Sans CJK SC"/>
        <family val="2"/>
      </rPr>
      <t xml:space="preserve">원본 파일의 해당 시트에 반영할 후보입니다</t>
    </r>
    <r>
      <rPr>
        <i val="true"/>
        <sz val="10"/>
        <rFont val="Calibri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</si>
  <si>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반영 대상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파일</t>
    </r>
    <r>
      <rPr>
        <b val="true"/>
        <sz val="11"/>
        <color rgb="FFFFFFFF"/>
        <rFont val="Calibri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시트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</si>
  <si>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확보한 값</t>
  </si>
  <si>
    <t xml:space="preserve">출처</t>
  </si>
  <si>
    <t xml:space="preserve">출처 성격</t>
  </si>
  <si>
    <r>
      <rPr>
        <b val="true"/>
        <sz val="11"/>
        <color rgb="FFFFFFFF"/>
        <rFont val="Noto Sans CJK SC"/>
        <family val="2"/>
      </rPr>
      <t xml:space="preserve">자료일 </t>
    </r>
    <r>
      <rPr>
        <b val="true"/>
        <sz val="11"/>
        <color rgb="FFFFFFFF"/>
        <rFont val="Calibri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확인일</t>
    </r>
  </si>
  <si>
    <r>
      <rPr>
        <sz val="11"/>
        <rFont val="Noto Sans CJK SC"/>
        <family val="2"/>
      </rPr>
      <t xml:space="preserve">구장정보 </t>
    </r>
    <r>
      <rPr>
        <sz val="11"/>
        <rFont val="Calibri"/>
        <family val="0"/>
        <charset val="1"/>
      </rPr>
      <t xml:space="preserve">· Team Policies</t>
    </r>
  </si>
  <si>
    <t xml:space="preserve">입장 시간</t>
  </si>
  <si>
    <r>
      <rPr>
        <sz val="11"/>
        <rFont val="Noto Sans CJK SC"/>
        <family val="2"/>
      </rPr>
      <t xml:space="preserve">경기 시작 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시간 전부터 입장 가능</t>
    </r>
  </si>
  <si>
    <r>
      <rPr>
        <sz val="11"/>
        <rFont val="Calibri"/>
        <family val="0"/>
        <charset val="1"/>
      </rPr>
      <t xml:space="preserve">kt wiz </t>
    </r>
    <r>
      <rPr>
        <sz val="11"/>
        <rFont val="Noto Sans CJK SC"/>
        <family val="2"/>
      </rPr>
      <t xml:space="preserve">공식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입장 시간 및 방법</t>
    </r>
    <r>
      <rPr>
        <sz val="11"/>
        <rFont val="Calibri"/>
        <family val="0"/>
        <charset val="1"/>
      </rPr>
      <t xml:space="preserve">'</t>
    </r>
  </si>
  <si>
    <r>
      <rPr>
        <sz val="11"/>
        <rFont val="Noto Sans CJK SC"/>
        <family val="2"/>
      </rPr>
      <t xml:space="preserve">구단 공식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이미지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</si>
  <si>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2026-09-05 </t>
    </r>
    <r>
      <rPr>
        <sz val="11"/>
        <rFont val="Noto Sans CJK SC"/>
        <family val="2"/>
      </rPr>
      <t xml:space="preserve">열람</t>
    </r>
  </si>
  <si>
    <r>
      <rPr>
        <sz val="11"/>
        <rFont val="Noto Sans CJK SC"/>
        <family val="2"/>
      </rPr>
      <t xml:space="preserve">구장정보 </t>
    </r>
    <r>
      <rPr>
        <sz val="11"/>
        <rFont val="Calibri"/>
        <family val="0"/>
        <charset val="1"/>
      </rPr>
      <t xml:space="preserve">· Transport</t>
    </r>
  </si>
  <si>
    <t xml:space="preserve">주차 면수</t>
  </si>
  <si>
    <r>
      <rPr>
        <sz val="11"/>
        <rFont val="Calibri"/>
        <family val="0"/>
        <charset val="1"/>
      </rPr>
      <t xml:space="preserve">484</t>
    </r>
    <r>
      <rPr>
        <sz val="11"/>
        <rFont val="Noto Sans CJK SC"/>
        <family val="2"/>
      </rPr>
      <t xml:space="preserve">면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전기차충전소 구비</t>
    </r>
  </si>
  <si>
    <t xml:space="preserve">서울시설공단 고척스카이돔 시설현황</t>
  </si>
  <si>
    <t xml:space="preserve">운영기관 공식</t>
  </si>
  <si>
    <r>
      <rPr>
        <sz val="11"/>
        <rFont val="Noto Sans CJK SC"/>
        <family val="2"/>
      </rPr>
      <t xml:space="preserve">구장정보 </t>
    </r>
    <r>
      <rPr>
        <sz val="11"/>
        <rFont val="Calibri"/>
        <family val="0"/>
        <charset val="1"/>
      </rPr>
      <t xml:space="preserve">· Facilities</t>
    </r>
  </si>
  <si>
    <t xml:space="preserve">층별 시설</t>
  </si>
  <si>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층 매점 </t>
    </r>
    <r>
      <rPr>
        <sz val="11"/>
        <rFont val="Calibri"/>
        <family val="0"/>
        <charset val="1"/>
      </rPr>
      <t xml:space="preserve">/ 3</t>
    </r>
    <r>
      <rPr>
        <sz val="11"/>
        <rFont val="Noto Sans CJK SC"/>
        <family val="2"/>
      </rPr>
      <t xml:space="preserve">층 스카이박스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매점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방송실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아기쉼터 </t>
    </r>
    <r>
      <rPr>
        <sz val="11"/>
        <rFont val="Calibri"/>
        <family val="0"/>
        <charset val="1"/>
      </rPr>
      <t xml:space="preserve">/ 2</t>
    </r>
    <r>
      <rPr>
        <sz val="11"/>
        <rFont val="Noto Sans CJK SC"/>
        <family val="2"/>
      </rPr>
      <t xml:space="preserve">층 매점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귀빈실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아기쉼터 </t>
    </r>
    <r>
      <rPr>
        <sz val="11"/>
        <rFont val="Calibri"/>
        <family val="0"/>
        <charset val="1"/>
      </rPr>
      <t xml:space="preserve">/ 1</t>
    </r>
    <r>
      <rPr>
        <sz val="11"/>
        <rFont val="Noto Sans CJK SC"/>
        <family val="2"/>
      </rPr>
      <t xml:space="preserve">층 그라운드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선수실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헬스장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관리사무실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어린이놀이터 </t>
    </r>
    <r>
      <rPr>
        <sz val="11"/>
        <rFont val="Calibri"/>
        <family val="0"/>
        <charset val="1"/>
      </rPr>
      <t xml:space="preserve">/ B1 </t>
    </r>
    <r>
      <rPr>
        <sz val="11"/>
        <rFont val="Noto Sans CJK SC"/>
        <family val="2"/>
      </rPr>
      <t xml:space="preserve">선수연습실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주차장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서울아트책보고 </t>
    </r>
    <r>
      <rPr>
        <sz val="11"/>
        <rFont val="Calibri"/>
        <family val="0"/>
        <charset val="1"/>
      </rPr>
      <t xml:space="preserve">/ B2 </t>
    </r>
    <r>
      <rPr>
        <sz val="11"/>
        <rFont val="Noto Sans CJK SC"/>
        <family val="2"/>
      </rPr>
      <t xml:space="preserve">수영장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주차장</t>
    </r>
  </si>
  <si>
    <t xml:space="preserve">주차 운영조건</t>
  </si>
  <si>
    <r>
      <rPr>
        <sz val="11"/>
        <rFont val="Noto Sans CJK SC"/>
        <family val="2"/>
      </rPr>
      <t xml:space="preserve">지하주차장은 지하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층만 사용 </t>
    </r>
    <r>
      <rPr>
        <sz val="11"/>
        <rFont val="Calibri"/>
        <family val="0"/>
        <charset val="1"/>
      </rPr>
      <t xml:space="preserve">/ </t>
    </r>
    <r>
      <rPr>
        <sz val="11"/>
        <rFont val="Noto Sans CJK SC"/>
        <family val="2"/>
      </rPr>
      <t xml:space="preserve">입차는 경기장 입장시간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시간 전부터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평일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시간 전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주말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시간 </t>
    </r>
    <r>
      <rPr>
        <sz val="11"/>
        <rFont val="Calibri"/>
        <family val="0"/>
        <charset val="1"/>
      </rPr>
      <t xml:space="preserve">30</t>
    </r>
    <r>
      <rPr>
        <sz val="11"/>
        <rFont val="Noto Sans CJK SC"/>
        <family val="2"/>
      </rPr>
      <t xml:space="preserve">분 전</t>
    </r>
    <r>
      <rPr>
        <sz val="11"/>
        <rFont val="Calibri"/>
        <family val="0"/>
        <charset val="1"/>
      </rPr>
      <t xml:space="preserve">) / </t>
    </r>
    <r>
      <rPr>
        <sz val="11"/>
        <rFont val="Noto Sans CJK SC"/>
        <family val="2"/>
      </rPr>
      <t xml:space="preserve">선착순 운영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만차 시 지상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외부 주차장 이용 → </t>
    </r>
    <r>
      <rPr>
        <sz val="11"/>
        <rFont val="Calibri"/>
        <family val="0"/>
        <charset val="1"/>
      </rPr>
      <t xml:space="preserve">reservation_required=N</t>
    </r>
  </si>
  <si>
    <r>
      <rPr>
        <sz val="11"/>
        <rFont val="Noto Sans CJK SC"/>
        <family val="2"/>
      </rPr>
      <t xml:space="preserve">한화 이글스 공식 </t>
    </r>
    <r>
      <rPr>
        <sz val="11"/>
        <rFont val="Calibri"/>
        <family val="0"/>
        <charset val="1"/>
      </rPr>
      <t xml:space="preserve">FAQ</t>
    </r>
  </si>
  <si>
    <t xml:space="preserve">구단 공식</t>
  </si>
  <si>
    <r>
      <rPr>
        <sz val="11"/>
        <rFont val="Noto Sans CJK SC"/>
        <family val="2"/>
      </rPr>
      <t xml:space="preserve">구장정보 </t>
    </r>
    <r>
      <rPr>
        <sz val="11"/>
        <rFont val="Calibri"/>
        <family val="0"/>
        <charset val="1"/>
      </rPr>
      <t xml:space="preserve">· Policies</t>
    </r>
  </si>
  <si>
    <t xml:space="preserve">음료 반입</t>
  </si>
  <si>
    <r>
      <rPr>
        <sz val="11"/>
        <rFont val="Noto Sans CJK SC"/>
        <family val="2"/>
      </rPr>
      <t xml:space="preserve">미개봉 음료에 한해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인당 </t>
    </r>
    <r>
      <rPr>
        <sz val="11"/>
        <rFont val="Calibri"/>
        <family val="0"/>
        <charset val="1"/>
      </rPr>
      <t xml:space="preserve">PET 1</t>
    </r>
    <r>
      <rPr>
        <sz val="11"/>
        <rFont val="Noto Sans CJK SC"/>
        <family val="2"/>
      </rPr>
      <t xml:space="preserve">개 또는 캔 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개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총 반입 용량 </t>
    </r>
    <r>
      <rPr>
        <sz val="11"/>
        <rFont val="Calibri"/>
        <family val="0"/>
        <charset val="1"/>
      </rPr>
      <t xml:space="preserve">1L </t>
    </r>
    <r>
      <rPr>
        <sz val="11"/>
        <rFont val="Noto Sans CJK SC"/>
        <family val="2"/>
      </rPr>
      <t xml:space="preserve">이하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유리병</t>
    </r>
    <r>
      <rPr>
        <sz val="11"/>
        <rFont val="Calibri"/>
        <family val="0"/>
        <charset val="1"/>
      </rPr>
      <t xml:space="preserve">·1L </t>
    </r>
    <r>
      <rPr>
        <sz val="11"/>
        <rFont val="Noto Sans CJK SC"/>
        <family val="2"/>
      </rPr>
      <t xml:space="preserve">초과 반입 금지</t>
    </r>
  </si>
  <si>
    <t xml:space="preserve">음식물 반입</t>
  </si>
  <si>
    <r>
      <rPr>
        <sz val="11"/>
        <rFont val="Noto Sans CJK SC"/>
        <family val="2"/>
      </rPr>
      <t xml:space="preserve">반입금지 품목 외 음식물은 소지품 크기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개수 허용 범위 내 반입 가능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뜨거운 국물류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냄새가 강한 음식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던질 수 있는 과일류 제한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미리 잘라온 과일은 가능</t>
    </r>
  </si>
  <si>
    <r>
      <rPr>
        <sz val="11"/>
        <rFont val="Noto Sans CJK SC"/>
        <family val="2"/>
      </rPr>
      <t xml:space="preserve">예매 한도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연령 기준</t>
    </r>
  </si>
  <si>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인 </t>
    </r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매까지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최대 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회 예매 가능 </t>
    </r>
    <r>
      <rPr>
        <sz val="11"/>
        <rFont val="Calibri"/>
        <family val="0"/>
        <charset val="1"/>
      </rPr>
      <t xml:space="preserve">/ </t>
    </r>
    <r>
      <rPr>
        <sz val="11"/>
        <rFont val="Noto Sans CJK SC"/>
        <family val="2"/>
      </rPr>
      <t xml:space="preserve">어린이 </t>
    </r>
    <r>
      <rPr>
        <sz val="11"/>
        <rFont val="Calibri"/>
        <family val="0"/>
        <charset val="1"/>
      </rPr>
      <t xml:space="preserve">13</t>
    </r>
    <r>
      <rPr>
        <sz val="11"/>
        <rFont val="Noto Sans CJK SC"/>
        <family val="2"/>
      </rPr>
      <t xml:space="preserve">세 이하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학생 </t>
    </r>
    <r>
      <rPr>
        <sz val="11"/>
        <rFont val="Calibri"/>
        <family val="0"/>
        <charset val="1"/>
      </rPr>
      <t xml:space="preserve">14~19</t>
    </r>
    <r>
      <rPr>
        <sz val="11"/>
        <rFont val="Noto Sans CJK SC"/>
        <family val="2"/>
      </rPr>
      <t xml:space="preserve">세 </t>
    </r>
    <r>
      <rPr>
        <sz val="11"/>
        <rFont val="Calibri"/>
        <family val="0"/>
        <charset val="1"/>
      </rPr>
      <t xml:space="preserve">/ 36</t>
    </r>
    <r>
      <rPr>
        <sz val="11"/>
        <rFont val="Noto Sans CJK SC"/>
        <family val="2"/>
      </rPr>
      <t xml:space="preserve">개월 이상부터 티켓 구매 필요</t>
    </r>
  </si>
  <si>
    <r>
      <rPr>
        <sz val="11"/>
        <rFont val="Noto Sans CJK SC"/>
        <family val="2"/>
      </rPr>
      <t xml:space="preserve">구장정보 </t>
    </r>
    <r>
      <rPr>
        <sz val="11"/>
        <rFont val="Calibri"/>
        <family val="0"/>
        <charset val="1"/>
      </rPr>
      <t xml:space="preserve">· Ticket Prices</t>
    </r>
  </si>
  <si>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시즌티켓 체계</t>
    </r>
  </si>
  <si>
    <r>
      <rPr>
        <sz val="11"/>
        <rFont val="Calibri"/>
        <family val="0"/>
        <charset val="1"/>
      </rPr>
      <t xml:space="preserve">N</t>
    </r>
    <r>
      <rPr>
        <sz val="11"/>
        <rFont val="Noto Sans CJK SC"/>
        <family val="2"/>
      </rPr>
      <t xml:space="preserve">타입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모바일앱</t>
    </r>
    <r>
      <rPr>
        <sz val="11"/>
        <rFont val="Calibri"/>
        <family val="0"/>
        <charset val="1"/>
      </rPr>
      <t xml:space="preserve">)·C</t>
    </r>
    <r>
      <rPr>
        <sz val="11"/>
        <rFont val="Noto Sans CJK SC"/>
        <family val="2"/>
      </rPr>
      <t xml:space="preserve">타입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지류 티켓북</t>
    </r>
    <r>
      <rPr>
        <sz val="11"/>
        <rFont val="Calibri"/>
        <family val="0"/>
        <charset val="1"/>
      </rPr>
      <t xml:space="preserve">)·</t>
    </r>
    <r>
      <rPr>
        <sz val="11"/>
        <rFont val="Noto Sans CJK SC"/>
        <family val="2"/>
      </rPr>
      <t xml:space="preserve">스카이박스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드림티켓 </t>
    </r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종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홈 </t>
    </r>
    <r>
      <rPr>
        <sz val="11"/>
        <rFont val="Calibri"/>
        <family val="0"/>
        <charset val="1"/>
      </rPr>
      <t xml:space="preserve">73</t>
    </r>
    <r>
      <rPr>
        <sz val="11"/>
        <rFont val="Noto Sans CJK SC"/>
        <family val="2"/>
      </rPr>
      <t xml:space="preserve">경기 기준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드림티켓 </t>
    </r>
    <r>
      <rPr>
        <sz val="11"/>
        <rFont val="Calibri"/>
        <family val="0"/>
        <charset val="1"/>
      </rPr>
      <t xml:space="preserve">399,000</t>
    </r>
    <r>
      <rPr>
        <sz val="11"/>
        <rFont val="Noto Sans CJK SC"/>
        <family val="2"/>
      </rPr>
      <t xml:space="preserve">원 </t>
    </r>
    <r>
      <rPr>
        <sz val="11"/>
        <rFont val="Calibri"/>
        <family val="0"/>
        <charset val="1"/>
      </rPr>
      <t xml:space="preserve">= </t>
    </r>
    <r>
      <rPr>
        <sz val="11"/>
        <rFont val="Noto Sans CJK SC"/>
        <family val="2"/>
      </rPr>
      <t xml:space="preserve">정가의 </t>
    </r>
    <r>
      <rPr>
        <sz val="11"/>
        <rFont val="Calibri"/>
        <family val="0"/>
        <charset val="1"/>
      </rPr>
      <t xml:space="preserve">50% → </t>
    </r>
    <r>
      <rPr>
        <sz val="11"/>
        <rFont val="Noto Sans CJK SC"/>
        <family val="2"/>
      </rPr>
      <t xml:space="preserve">내야석 </t>
    </r>
    <r>
      <rPr>
        <sz val="11"/>
        <rFont val="Calibri"/>
        <family val="0"/>
        <charset val="1"/>
      </rPr>
      <t xml:space="preserve">1·2</t>
    </r>
    <r>
      <rPr>
        <sz val="11"/>
        <rFont val="Noto Sans CJK SC"/>
        <family val="2"/>
      </rPr>
      <t xml:space="preserve">층 시즌권 정가 </t>
    </r>
    <r>
      <rPr>
        <sz val="11"/>
        <rFont val="Calibri"/>
        <family val="0"/>
        <charset val="1"/>
      </rPr>
      <t xml:space="preserve">798,000</t>
    </r>
    <r>
      <rPr>
        <sz val="11"/>
        <rFont val="Noto Sans CJK SC"/>
        <family val="2"/>
      </rPr>
      <t xml:space="preserve">원 역산</t>
    </r>
    <r>
      <rPr>
        <sz val="11"/>
        <rFont val="Calibri"/>
        <family val="0"/>
        <charset val="1"/>
      </rPr>
      <t xml:space="preserve">(60</t>
    </r>
    <r>
      <rPr>
        <sz val="11"/>
        <rFont val="Noto Sans CJK SC"/>
        <family val="2"/>
      </rPr>
      <t xml:space="preserve">석</t>
    </r>
    <r>
      <rPr>
        <sz val="11"/>
        <rFont val="Calibri"/>
        <family val="0"/>
        <charset val="1"/>
      </rPr>
      <t xml:space="preserve">, 1</t>
    </r>
    <r>
      <rPr>
        <sz val="11"/>
        <rFont val="Noto Sans CJK SC"/>
        <family val="2"/>
      </rPr>
      <t xml:space="preserve">인 최대 </t>
    </r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매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</si>
  <si>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다이노스 공식 공지</t>
    </r>
  </si>
  <si>
    <t xml:space="preserve">2026-02-07</t>
  </si>
  <si>
    <r>
      <rPr>
        <sz val="11"/>
        <rFont val="Noto Sans CJK SC"/>
        <family val="2"/>
      </rPr>
      <t xml:space="preserve">구장정보 </t>
    </r>
    <r>
      <rPr>
        <sz val="11"/>
        <rFont val="Calibri"/>
        <family val="0"/>
        <charset val="1"/>
      </rPr>
      <t xml:space="preserve">· Seat Experience</t>
    </r>
  </si>
  <si>
    <t xml:space="preserve">시즌권 혜택</t>
  </si>
  <si>
    <r>
      <rPr>
        <sz val="11"/>
        <rFont val="Noto Sans CJK SC"/>
        <family val="2"/>
      </rPr>
      <t xml:space="preserve">시즌티켓 전용 게이트 </t>
    </r>
    <r>
      <rPr>
        <sz val="11"/>
        <rFont val="Calibri"/>
        <family val="0"/>
        <charset val="1"/>
      </rPr>
      <t xml:space="preserve">30</t>
    </r>
    <r>
      <rPr>
        <sz val="11"/>
        <rFont val="Noto Sans CJK SC"/>
        <family val="2"/>
      </rPr>
      <t xml:space="preserve">분 빠른 입장 </t>
    </r>
    <r>
      <rPr>
        <sz val="11"/>
        <rFont val="Calibri"/>
        <family val="0"/>
        <charset val="1"/>
      </rPr>
      <t xml:space="preserve">/ </t>
    </r>
    <r>
      <rPr>
        <sz val="11"/>
        <rFont val="Noto Sans CJK SC"/>
        <family val="2"/>
      </rPr>
      <t xml:space="preserve">포스트시즌 홈경기 우선 예매권 </t>
    </r>
    <r>
      <rPr>
        <sz val="11"/>
        <rFont val="Calibri"/>
        <family val="0"/>
        <charset val="1"/>
      </rPr>
      <t xml:space="preserve">/ 2027 </t>
    </r>
    <r>
      <rPr>
        <sz val="11"/>
        <rFont val="Noto Sans CJK SC"/>
        <family val="2"/>
      </rPr>
      <t xml:space="preserve">동일 좌석 선점권 </t>
    </r>
    <r>
      <rPr>
        <sz val="11"/>
        <rFont val="Calibri"/>
        <family val="0"/>
        <charset val="1"/>
      </rPr>
      <t xml:space="preserve">/ </t>
    </r>
    <r>
      <rPr>
        <sz val="11"/>
        <rFont val="Noto Sans CJK SC"/>
        <family val="2"/>
      </rPr>
      <t xml:space="preserve">프리미엄석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프리미엄 테이블석은 지하주차장 주차권 제공</t>
    </r>
  </si>
  <si>
    <t xml:space="preserve">F&amp;B · Food Stores</t>
  </si>
  <si>
    <r>
      <rPr>
        <sz val="11"/>
        <rFont val="Noto Sans CJK SC"/>
        <family val="2"/>
      </rPr>
      <t xml:space="preserve">더본 테이스티 </t>
    </r>
    <r>
      <rPr>
        <sz val="11"/>
        <rFont val="Calibri"/>
        <family val="0"/>
        <charset val="1"/>
      </rPr>
      <t xml:space="preserve">8</t>
    </r>
    <r>
      <rPr>
        <sz val="11"/>
        <rFont val="Noto Sans CJK SC"/>
        <family val="2"/>
      </rPr>
      <t xml:space="preserve">개 브랜드</t>
    </r>
  </si>
  <si>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루측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빽다방빵연구소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새마을식당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역전우동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빽보이피자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한신포차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연돈볼카츠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백스비어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고투웍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대표 메뉴</t>
    </r>
    <r>
      <rPr>
        <sz val="11"/>
        <rFont val="Calibri"/>
        <family val="0"/>
        <charset val="1"/>
      </rPr>
      <t xml:space="preserve">: </t>
    </r>
    <r>
      <rPr>
        <sz val="11"/>
        <rFont val="Noto Sans CJK SC"/>
        <family val="2"/>
      </rPr>
      <t xml:space="preserve">최강한화 홈런볼빵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컵 우동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비빔면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홈플레이트 세트메뉴</t>
    </r>
  </si>
  <si>
    <t xml:space="preserve">더본코리아 공식 보도자료</t>
  </si>
  <si>
    <t xml:space="preserve">운영사 공식</t>
  </si>
  <si>
    <r>
      <rPr>
        <sz val="11"/>
        <rFont val="Calibri"/>
        <family val="0"/>
        <charset val="1"/>
      </rPr>
      <t xml:space="preserve">2025-03-04 (2026 </t>
    </r>
    <r>
      <rPr>
        <sz val="11"/>
        <rFont val="Noto Sans CJK SC"/>
        <family val="2"/>
      </rPr>
      <t xml:space="preserve">유지 여부 재확인 필요</t>
    </r>
    <r>
      <rPr>
        <sz val="11"/>
        <rFont val="Calibri"/>
        <family val="0"/>
        <charset val="1"/>
      </rPr>
      <t xml:space="preserve">)</t>
    </r>
  </si>
  <si>
    <t xml:space="preserve">아라마크 운영 구역</t>
  </si>
  <si>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루측에서 미국식 핫도그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햄버거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나초 운영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전체 </t>
    </r>
    <r>
      <rPr>
        <sz val="11"/>
        <rFont val="Calibri"/>
        <family val="0"/>
        <charset val="1"/>
      </rPr>
      <t xml:space="preserve">30</t>
    </r>
    <r>
      <rPr>
        <sz val="11"/>
        <rFont val="Noto Sans CJK SC"/>
        <family val="2"/>
      </rPr>
      <t xml:space="preserve">여개 브랜드 입점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개별 목록 미공개</t>
    </r>
    <r>
      <rPr>
        <sz val="11"/>
        <rFont val="Calibri"/>
        <family val="0"/>
        <charset val="1"/>
      </rPr>
      <t xml:space="preserve">)</t>
    </r>
  </si>
  <si>
    <t xml:space="preserve">일간스포츠</t>
  </si>
  <si>
    <r>
      <rPr>
        <sz val="11"/>
        <rFont val="Noto Sans CJK SC"/>
        <family val="2"/>
      </rPr>
      <t xml:space="preserve">언론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구단 발표 기반</t>
    </r>
    <r>
      <rPr>
        <sz val="11"/>
        <rFont val="Calibri"/>
        <family val="0"/>
        <charset val="1"/>
      </rPr>
      <t xml:space="preserve">)</t>
    </r>
  </si>
  <si>
    <t xml:space="preserve">2025-02-18</t>
  </si>
  <si>
    <t xml:space="preserve">F&amp;B · Food Stores / Attractions</t>
  </si>
  <si>
    <t xml:space="preserve">HOUSE OF LIONS</t>
  </si>
  <si>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층 외부 매장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약 </t>
    </r>
    <r>
      <rPr>
        <sz val="11"/>
        <rFont val="Calibri"/>
        <family val="0"/>
        <charset val="1"/>
      </rPr>
      <t xml:space="preserve">100</t>
    </r>
    <r>
      <rPr>
        <sz val="11"/>
        <rFont val="Noto Sans CJK SC"/>
        <family val="2"/>
      </rPr>
      <t xml:space="preserve">석</t>
    </r>
    <r>
      <rPr>
        <sz val="11"/>
        <rFont val="Calibri"/>
        <family val="0"/>
        <charset val="1"/>
      </rPr>
      <t xml:space="preserve">, 2026-03-21 </t>
    </r>
    <r>
      <rPr>
        <sz val="11"/>
        <rFont val="Noto Sans CJK SC"/>
        <family val="2"/>
      </rPr>
      <t xml:space="preserve">오픈</t>
    </r>
    <r>
      <rPr>
        <sz val="11"/>
        <rFont val="Calibri"/>
        <family val="0"/>
        <charset val="1"/>
      </rPr>
      <t xml:space="preserve">. 4</t>
    </r>
    <r>
      <rPr>
        <sz val="11"/>
        <rFont val="Noto Sans CJK SC"/>
        <family val="2"/>
      </rPr>
      <t xml:space="preserve">개 존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선수 특화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헤리티지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응원</t>
    </r>
    <r>
      <rPr>
        <sz val="11"/>
        <rFont val="Calibri"/>
        <family val="0"/>
        <charset val="1"/>
      </rPr>
      <t xml:space="preserve">/CX)</t>
    </r>
    <r>
      <rPr>
        <sz val="11"/>
        <rFont val="Noto Sans CJK SC"/>
        <family val="2"/>
      </rPr>
      <t xml:space="preserve">과 시그니처 메뉴 </t>
    </r>
    <r>
      <rPr>
        <sz val="11"/>
        <rFont val="Calibri"/>
        <family val="0"/>
        <charset val="1"/>
      </rPr>
      <t xml:space="preserve">7</t>
    </r>
    <r>
      <rPr>
        <sz val="11"/>
        <rFont val="Noto Sans CJK SC"/>
        <family val="2"/>
      </rPr>
      <t xml:space="preserve">종</t>
    </r>
    <r>
      <rPr>
        <sz val="11"/>
        <rFont val="Calibri"/>
        <family val="0"/>
        <charset val="1"/>
      </rPr>
      <t xml:space="preserve">. 3D </t>
    </r>
    <r>
      <rPr>
        <sz val="11"/>
        <rFont val="Noto Sans CJK SC"/>
        <family val="2"/>
      </rPr>
      <t xml:space="preserve">피규어 포토부스</t>
    </r>
    <r>
      <rPr>
        <sz val="11"/>
        <rFont val="Calibri"/>
        <family val="0"/>
        <charset val="1"/>
      </rPr>
      <t xml:space="preserve">=PHOTOZONE, Historic Wall=HISTORY</t>
    </r>
    <r>
      <rPr>
        <sz val="11"/>
        <rFont val="Noto Sans CJK SC"/>
        <family val="2"/>
      </rPr>
      <t xml:space="preserve">로 </t>
    </r>
    <r>
      <rPr>
        <sz val="11"/>
        <rFont val="Calibri"/>
        <family val="0"/>
        <charset val="1"/>
      </rPr>
      <t xml:space="preserve">Attractions </t>
    </r>
    <r>
      <rPr>
        <sz val="11"/>
        <rFont val="Noto Sans CJK SC"/>
        <family val="2"/>
      </rPr>
      <t xml:space="preserve">신규 레코드화 가능</t>
    </r>
  </si>
  <si>
    <t xml:space="preserve">삼성웰스토리 공식</t>
  </si>
  <si>
    <t xml:space="preserve">2026-03-27</t>
  </si>
  <si>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신규 입점 </t>
    </r>
    <r>
      <rPr>
        <sz val="11"/>
        <rFont val="Calibri"/>
        <family val="0"/>
        <charset val="1"/>
      </rPr>
      <t xml:space="preserve">5</t>
    </r>
    <r>
      <rPr>
        <sz val="11"/>
        <rFont val="Noto Sans CJK SC"/>
        <family val="2"/>
      </rPr>
      <t xml:space="preserve">곳</t>
    </r>
  </si>
  <si>
    <r>
      <rPr>
        <sz val="11"/>
        <rFont val="Noto Sans CJK SC"/>
        <family val="2"/>
      </rPr>
      <t xml:space="preserve">송헌집</t>
    </r>
    <r>
      <rPr>
        <sz val="11"/>
        <rFont val="Calibri"/>
        <family val="0"/>
        <charset val="1"/>
      </rPr>
      <t xml:space="preserve">(2026 </t>
    </r>
    <r>
      <rPr>
        <sz val="11"/>
        <rFont val="Noto Sans CJK SC"/>
        <family val="2"/>
      </rPr>
      <t xml:space="preserve">부산 미슐랭 셀렉티드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프리미엄 숯불 소시지</t>
    </r>
    <r>
      <rPr>
        <sz val="11"/>
        <rFont val="Calibri"/>
        <family val="0"/>
        <charset val="1"/>
      </rPr>
      <t xml:space="preserve">)·</t>
    </r>
    <r>
      <rPr>
        <sz val="11"/>
        <rFont val="Noto Sans CJK SC"/>
        <family val="2"/>
      </rPr>
      <t xml:space="preserve">박수식당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한우육회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젓갈김밥</t>
    </r>
    <r>
      <rPr>
        <sz val="11"/>
        <rFont val="Calibri"/>
        <family val="0"/>
        <charset val="1"/>
      </rPr>
      <t xml:space="preserve">)·</t>
    </r>
    <r>
      <rPr>
        <sz val="11"/>
        <rFont val="Noto Sans CJK SC"/>
        <family val="2"/>
      </rPr>
      <t xml:space="preserve">상하이마라꼬치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스탠브루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롯데</t>
    </r>
    <r>
      <rPr>
        <sz val="11"/>
        <rFont val="Calibri"/>
        <family val="0"/>
        <charset val="1"/>
      </rPr>
      <t xml:space="preserve">GRS </t>
    </r>
    <r>
      <rPr>
        <sz val="11"/>
        <rFont val="Noto Sans CJK SC"/>
        <family val="2"/>
      </rPr>
      <t xml:space="preserve">커피 부산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호점</t>
    </r>
    <r>
      <rPr>
        <sz val="11"/>
        <rFont val="Calibri"/>
        <family val="0"/>
        <charset val="1"/>
      </rPr>
      <t xml:space="preserve">)·</t>
    </r>
    <r>
      <rPr>
        <sz val="11"/>
        <rFont val="Noto Sans CJK SC"/>
        <family val="2"/>
      </rPr>
      <t xml:space="preserve">계란빵클럽</t>
    </r>
    <r>
      <rPr>
        <sz val="11"/>
        <rFont val="Calibri"/>
        <family val="0"/>
        <charset val="1"/>
      </rPr>
      <t xml:space="preserve">. QR </t>
    </r>
    <r>
      <rPr>
        <sz val="11"/>
        <rFont val="Noto Sans CJK SC"/>
        <family val="2"/>
      </rPr>
      <t xml:space="preserve">스마트 오더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배리어프리 키오스크 도입</t>
    </r>
  </si>
  <si>
    <t xml:space="preserve">이데일리</t>
  </si>
  <si>
    <t xml:space="preserve">2026-03-26</t>
  </si>
  <si>
    <r>
      <rPr>
        <sz val="11"/>
        <rFont val="Noto Sans CJK SC"/>
        <family val="2"/>
      </rPr>
      <t xml:space="preserve">구장정보 </t>
    </r>
    <r>
      <rPr>
        <sz val="11"/>
        <rFont val="Calibri"/>
        <family val="0"/>
        <charset val="1"/>
      </rPr>
      <t xml:space="preserve">· Stadiums</t>
    </r>
  </si>
  <si>
    <r>
      <rPr>
        <sz val="11"/>
        <rFont val="Noto Sans CJK SC"/>
        <family val="2"/>
      </rPr>
      <t xml:space="preserve">시설 규모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보강</t>
    </r>
    <r>
      <rPr>
        <sz val="11"/>
        <rFont val="Calibri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</si>
  <si>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경기장면적 </t>
    </r>
    <r>
      <rPr>
        <sz val="11"/>
        <rFont val="Calibri"/>
        <family val="0"/>
        <charset val="1"/>
      </rPr>
      <t xml:space="preserve">26,331</t>
    </r>
    <r>
      <rPr>
        <sz val="11"/>
        <rFont val="Noto Sans CJK SC"/>
        <family val="2"/>
      </rPr>
      <t xml:space="preserve">㎡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건축연면적 </t>
    </r>
    <r>
      <rPr>
        <sz val="11"/>
        <rFont val="Calibri"/>
        <family val="0"/>
        <charset val="1"/>
      </rPr>
      <t xml:space="preserve">45,312</t>
    </r>
    <r>
      <rPr>
        <sz val="11"/>
        <rFont val="Noto Sans CJK SC"/>
        <family val="2"/>
      </rPr>
      <t xml:space="preserve">㎡</t>
    </r>
    <r>
      <rPr>
        <sz val="11"/>
        <rFont val="Calibri"/>
        <family val="0"/>
        <charset val="1"/>
      </rPr>
      <t xml:space="preserve">, 2000-01-01</t>
    </r>
    <r>
      <rPr>
        <sz val="11"/>
        <rFont val="Noto Sans CJK SC"/>
        <family val="2"/>
      </rPr>
      <t xml:space="preserve">부터 </t>
    </r>
    <r>
      <rPr>
        <sz val="11"/>
        <rFont val="Calibri"/>
        <family val="0"/>
        <charset val="1"/>
      </rPr>
      <t xml:space="preserve">LG</t>
    </r>
    <r>
      <rPr>
        <sz val="11"/>
        <rFont val="Noto Sans CJK SC"/>
        <family val="2"/>
      </rPr>
      <t xml:space="preserve">스포츠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두산베어스 민간위탁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좌석 </t>
    </r>
    <r>
      <rPr>
        <sz val="11"/>
        <rFont val="Calibri"/>
        <family val="0"/>
        <charset val="1"/>
      </rPr>
      <t xml:space="preserve">24,411</t>
    </r>
    <r>
      <rPr>
        <sz val="11"/>
        <rFont val="Noto Sans CJK SC"/>
        <family val="2"/>
      </rPr>
      <t xml:space="preserve">석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수용 </t>
    </r>
    <r>
      <rPr>
        <sz val="11"/>
        <rFont val="Calibri"/>
        <family val="0"/>
        <charset val="1"/>
      </rPr>
      <t xml:space="preserve">25,000</t>
    </r>
    <r>
      <rPr>
        <sz val="11"/>
        <rFont val="Noto Sans CJK SC"/>
        <family val="2"/>
      </rPr>
      <t xml:space="preserve">명은 기존 값과 일치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교차검증 통과</t>
    </r>
    <r>
      <rPr>
        <sz val="11"/>
        <rFont val="Calibri"/>
        <family val="0"/>
        <charset val="1"/>
      </rPr>
      <t xml:space="preserve">)</t>
    </r>
  </si>
  <si>
    <t xml:space="preserve">서울특별시 잠실야구장 소개</t>
  </si>
  <si>
    <t xml:space="preserve">지자체 공식</t>
  </si>
  <si>
    <r>
      <rPr>
        <b val="true"/>
        <sz val="16"/>
        <color rgb="FFFFFFFF"/>
        <rFont val="Calibri"/>
        <family val="0"/>
        <charset val="1"/>
      </rPr>
      <t xml:space="preserve">3</t>
    </r>
    <r>
      <rPr>
        <b val="true"/>
        <sz val="16"/>
        <color rgb="FFFFFFFF"/>
        <rFont val="Noto Sans CJK SC"/>
        <family val="2"/>
      </rPr>
      <t xml:space="preserve">차 재검증 출처 목록 </t>
    </r>
    <r>
      <rPr>
        <b val="true"/>
        <sz val="16"/>
        <color rgb="FFFFFFFF"/>
        <rFont val="Calibri"/>
        <family val="0"/>
        <charset val="1"/>
      </rPr>
      <t xml:space="preserve">(2026-09-05)</t>
    </r>
  </si>
  <si>
    <r>
      <rPr>
        <b val="true"/>
        <sz val="11"/>
        <color rgb="FFFFFFFF"/>
        <rFont val="Noto Sans CJK SC"/>
        <family val="2"/>
      </rPr>
      <t xml:space="preserve">출처</t>
    </r>
    <r>
      <rPr>
        <b val="true"/>
        <sz val="11"/>
        <color rgb="FFFFFFFF"/>
        <rFont val="Calibri"/>
        <family val="0"/>
        <charset val="1"/>
      </rPr>
      <t xml:space="preserve">ID</t>
    </r>
  </si>
  <si>
    <t xml:space="preserve">발행기관</t>
  </si>
  <si>
    <t xml:space="preserve">자료명</t>
  </si>
  <si>
    <t xml:space="preserve">URL</t>
  </si>
  <si>
    <t xml:space="preserve">공식성 등급</t>
  </si>
  <si>
    <t xml:space="preserve">비고</t>
  </si>
  <si>
    <t xml:space="preserve">T01</t>
  </si>
  <si>
    <r>
      <rPr>
        <sz val="11"/>
        <rFont val="Noto Sans CJK SC"/>
        <family val="2"/>
      </rPr>
      <t xml:space="preserve">국토교통부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소관</t>
    </r>
    <r>
      <rPr>
        <sz val="11"/>
        <rFont val="Calibri"/>
        <family val="0"/>
        <charset val="1"/>
      </rPr>
      <t xml:space="preserve">) / </t>
    </r>
    <r>
      <rPr>
        <sz val="11"/>
        <rFont val="Noto Sans CJK SC"/>
        <family val="2"/>
      </rPr>
      <t xml:space="preserve">지방자치단체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제공</t>
    </r>
    <r>
      <rPr>
        <sz val="11"/>
        <rFont val="Calibri"/>
        <family val="0"/>
        <charset val="1"/>
      </rPr>
      <t xml:space="preserve">)</t>
    </r>
  </si>
  <si>
    <t xml:space="preserve">전국주차장정보표준데이터</t>
  </si>
  <si>
    <t xml:space="preserve">https://www.data.go.kr/data/15012896/standard.do</t>
  </si>
  <si>
    <t xml:space="preserve">정부 표준데이터</t>
  </si>
  <si>
    <r>
      <rPr>
        <sz val="11"/>
        <rFont val="Noto Sans CJK SC"/>
        <family val="2"/>
      </rPr>
      <t xml:space="preserve">최종수정 </t>
    </r>
    <r>
      <rPr>
        <sz val="11"/>
        <rFont val="Calibri"/>
        <family val="0"/>
        <charset val="1"/>
      </rPr>
      <t xml:space="preserve">2026-04-20</t>
    </r>
  </si>
  <si>
    <r>
      <rPr>
        <sz val="11"/>
        <rFont val="Calibri"/>
        <family val="0"/>
        <charset val="1"/>
      </rPr>
      <t xml:space="preserve">33</t>
    </r>
    <r>
      <rPr>
        <sz val="11"/>
        <rFont val="Noto Sans CJK SC"/>
        <family val="2"/>
      </rPr>
      <t xml:space="preserve">개 항목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반기 갱신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주차구획수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기본요금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추가단위요금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월정기권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운영시간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평일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토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공휴일</t>
    </r>
    <r>
      <rPr>
        <sz val="11"/>
        <rFont val="Calibri"/>
        <family val="0"/>
        <charset val="1"/>
      </rPr>
      <t xml:space="preserve">) </t>
    </r>
    <r>
      <rPr>
        <sz val="11"/>
        <rFont val="Noto Sans CJK SC"/>
        <family val="2"/>
      </rPr>
      <t xml:space="preserve">포함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주차 </t>
    </r>
    <r>
      <rPr>
        <sz val="11"/>
        <rFont val="Calibri"/>
        <family val="0"/>
        <charset val="1"/>
      </rPr>
      <t xml:space="preserve">Backlog 3</t>
    </r>
    <r>
      <rPr>
        <sz val="11"/>
        <rFont val="Noto Sans CJK SC"/>
        <family val="2"/>
      </rPr>
      <t xml:space="preserve">건 해결 경로</t>
    </r>
  </si>
  <si>
    <t xml:space="preserve">T02</t>
  </si>
  <si>
    <r>
      <rPr>
        <sz val="11"/>
        <rFont val="Noto Sans CJK SC"/>
        <family val="2"/>
      </rPr>
      <t xml:space="preserve">행정안전부 </t>
    </r>
    <r>
      <rPr>
        <sz val="11"/>
        <rFont val="Calibri"/>
        <family val="0"/>
        <charset val="1"/>
      </rPr>
      <t xml:space="preserve">/ </t>
    </r>
    <r>
      <rPr>
        <sz val="11"/>
        <rFont val="Noto Sans CJK SC"/>
        <family val="2"/>
      </rPr>
      <t xml:space="preserve">지방자치단체 </t>
    </r>
    <r>
      <rPr>
        <sz val="11"/>
        <rFont val="Calibri"/>
        <family val="0"/>
        <charset val="1"/>
      </rPr>
      <t xml:space="preserve">251</t>
    </r>
    <r>
      <rPr>
        <sz val="11"/>
        <rFont val="Noto Sans CJK SC"/>
        <family val="2"/>
      </rPr>
      <t xml:space="preserve">개</t>
    </r>
  </si>
  <si>
    <t xml:space="preserve">전국공공시설개방정보표준데이터</t>
  </si>
  <si>
    <t xml:space="preserve">https://www.data.go.kr/data/15013117/standard.do</t>
  </si>
  <si>
    <r>
      <rPr>
        <sz val="11"/>
        <rFont val="Noto Sans CJK SC"/>
        <family val="2"/>
      </rPr>
      <t xml:space="preserve">최종수정 </t>
    </r>
    <r>
      <rPr>
        <sz val="11"/>
        <rFont val="Calibri"/>
        <family val="0"/>
        <charset val="1"/>
      </rPr>
      <t xml:space="preserve">2026-06-05</t>
    </r>
  </si>
  <si>
    <r>
      <rPr>
        <sz val="11"/>
        <rFont val="Noto Sans CJK SC"/>
        <family val="2"/>
      </rPr>
      <t xml:space="preserve">분기 갱신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야구장 포함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개방시간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이용료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수용인원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면적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부대시설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휴관일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관리기관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연락처</t>
    </r>
  </si>
  <si>
    <t xml:space="preserve">T03</t>
  </si>
  <si>
    <t xml:space="preserve">문화체육관광부</t>
  </si>
  <si>
    <r>
      <rPr>
        <sz val="11"/>
        <rFont val="Calibri"/>
        <family val="0"/>
        <charset val="1"/>
      </rPr>
      <t xml:space="preserve">2025 </t>
    </r>
    <r>
      <rPr>
        <sz val="11"/>
        <rFont val="Noto Sans CJK SC"/>
        <family val="2"/>
      </rPr>
      <t xml:space="preserve">전국 공공체육시설 현황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종합본</t>
    </r>
    <r>
      <rPr>
        <sz val="11"/>
        <rFont val="Calibri"/>
        <family val="0"/>
        <charset val="1"/>
      </rPr>
      <t xml:space="preserve">).xlsx</t>
    </r>
  </si>
  <si>
    <t xml:space="preserve">https://www.mcst.go.kr/site/s_policy/dept/deptView.jsp?pSeq=2107&amp;pDataCD=0417000000&amp;pType=07</t>
  </si>
  <si>
    <t xml:space="preserve">정부 공식 통계</t>
  </si>
  <si>
    <r>
      <rPr>
        <sz val="11"/>
        <rFont val="Noto Sans CJK SC"/>
        <family val="2"/>
      </rPr>
      <t xml:space="preserve">발행 </t>
    </r>
    <r>
      <rPr>
        <sz val="11"/>
        <rFont val="Calibri"/>
        <family val="0"/>
        <charset val="1"/>
      </rPr>
      <t xml:space="preserve">2026-02-05 (</t>
    </r>
    <r>
      <rPr>
        <sz val="11"/>
        <rFont val="Noto Sans CJK SC"/>
        <family val="2"/>
      </rPr>
      <t xml:space="preserve">기준 </t>
    </r>
    <r>
      <rPr>
        <sz val="11"/>
        <rFont val="Calibri"/>
        <family val="0"/>
        <charset val="1"/>
      </rPr>
      <t xml:space="preserve">2024-12-31)</t>
    </r>
  </si>
  <si>
    <t xml:space="preserve">구장 수용인원 교차검증용</t>
  </si>
  <si>
    <t xml:space="preserve">T04</t>
  </si>
  <si>
    <r>
      <rPr>
        <sz val="11"/>
        <rFont val="Calibri"/>
        <family val="0"/>
        <charset val="1"/>
      </rPr>
      <t xml:space="preserve">NC </t>
    </r>
    <r>
      <rPr>
        <sz val="11"/>
        <rFont val="Noto Sans CJK SC"/>
        <family val="2"/>
      </rPr>
      <t xml:space="preserve">다이노스</t>
    </r>
  </si>
  <si>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시즌티켓 판매 개시 공지</t>
    </r>
  </si>
  <si>
    <t xml:space="preserve">https://www.ncdinos.com/dinos/notice/view.do?seq=541889</t>
  </si>
  <si>
    <r>
      <rPr>
        <sz val="11"/>
        <rFont val="Noto Sans CJK SC"/>
        <family val="2"/>
      </rPr>
      <t xml:space="preserve">시즌티켓 </t>
    </r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종 체계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드림티켓 </t>
    </r>
    <r>
      <rPr>
        <sz val="11"/>
        <rFont val="Calibri"/>
        <family val="0"/>
        <charset val="1"/>
      </rPr>
      <t xml:space="preserve">399,000</t>
    </r>
    <r>
      <rPr>
        <sz val="11"/>
        <rFont val="Noto Sans CJK SC"/>
        <family val="2"/>
      </rPr>
      <t xml:space="preserve">원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스카이박스 문의판매 확인</t>
    </r>
  </si>
  <si>
    <t xml:space="preserve">T05</t>
  </si>
  <si>
    <t xml:space="preserve">삼성웰스토리</t>
  </si>
  <si>
    <r>
      <rPr>
        <sz val="11"/>
        <rFont val="Calibri"/>
        <family val="0"/>
        <charset val="1"/>
      </rPr>
      <t xml:space="preserve">2026 </t>
    </r>
    <r>
      <rPr>
        <sz val="11"/>
        <rFont val="Noto Sans CJK SC"/>
        <family val="2"/>
      </rPr>
      <t xml:space="preserve">대구 삼성라이온즈파크 </t>
    </r>
    <r>
      <rPr>
        <sz val="11"/>
        <rFont val="Calibri"/>
        <family val="0"/>
        <charset val="1"/>
      </rPr>
      <t xml:space="preserve">HOUSE OF LIONS</t>
    </r>
  </si>
  <si>
    <t xml:space="preserve">https://www.story-w.co.kr/story-w/3721/Basball_HouseofLions</t>
  </si>
  <si>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개 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시그니처 메뉴 </t>
    </r>
    <r>
      <rPr>
        <sz val="11"/>
        <rFont val="Calibri"/>
        <family val="0"/>
        <charset val="1"/>
      </rPr>
      <t xml:space="preserve">7</t>
    </r>
    <r>
      <rPr>
        <sz val="11"/>
        <rFont val="Noto Sans CJK SC"/>
        <family val="2"/>
      </rPr>
      <t xml:space="preserve">종</t>
    </r>
    <r>
      <rPr>
        <sz val="11"/>
        <rFont val="Calibri"/>
        <family val="0"/>
        <charset val="1"/>
      </rPr>
      <t xml:space="preserve">·2026-03-21 </t>
    </r>
    <r>
      <rPr>
        <sz val="11"/>
        <rFont val="Noto Sans CJK SC"/>
        <family val="2"/>
      </rPr>
      <t xml:space="preserve">오픈</t>
    </r>
  </si>
  <si>
    <t xml:space="preserve">T06</t>
  </si>
  <si>
    <t xml:space="preserve">더본코리아</t>
  </si>
  <si>
    <t xml:space="preserve">더본 테이스티 야구장 첫 상륙</t>
  </si>
  <si>
    <t xml:space="preserve">https://www.theborn.co.kr</t>
  </si>
  <si>
    <t xml:space="preserve">2025-03-04</t>
  </si>
  <si>
    <r>
      <rPr>
        <sz val="11"/>
        <rFont val="Noto Sans CJK SC"/>
        <family val="2"/>
      </rPr>
      <t xml:space="preserve">대전 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루측 </t>
    </r>
    <r>
      <rPr>
        <sz val="11"/>
        <rFont val="Calibri"/>
        <family val="0"/>
        <charset val="1"/>
      </rPr>
      <t xml:space="preserve">8</t>
    </r>
    <r>
      <rPr>
        <sz val="11"/>
        <rFont val="Noto Sans CJK SC"/>
        <family val="2"/>
      </rPr>
      <t xml:space="preserve">개 브랜드 실명</t>
    </r>
  </si>
  <si>
    <t xml:space="preserve">T07</t>
  </si>
  <si>
    <t xml:space="preserve">한화 이글스</t>
  </si>
  <si>
    <r>
      <rPr>
        <sz val="11"/>
        <rFont val="Noto Sans CJK SC"/>
        <family val="2"/>
      </rPr>
      <t xml:space="preserve">고객센터 </t>
    </r>
    <r>
      <rPr>
        <sz val="11"/>
        <rFont val="Calibri"/>
        <family val="0"/>
        <charset val="1"/>
      </rPr>
      <t xml:space="preserve">FAQ (</t>
    </r>
    <r>
      <rPr>
        <sz val="11"/>
        <rFont val="Noto Sans CJK SC"/>
        <family val="2"/>
      </rPr>
      <t xml:space="preserve">대전한화생명볼파크</t>
    </r>
    <r>
      <rPr>
        <sz val="11"/>
        <rFont val="Calibri"/>
        <family val="0"/>
        <charset val="1"/>
      </rPr>
      <t xml:space="preserve">)</t>
    </r>
  </si>
  <si>
    <t xml:space="preserve">https://www.hanwhaeagles.co.kr/ETC/CU/ETCCUCUI01.do?kind=FQ2</t>
  </si>
  <si>
    <r>
      <rPr>
        <sz val="11"/>
        <rFont val="Noto Sans CJK SC"/>
        <family val="2"/>
      </rPr>
      <t xml:space="preserve">주차 운영조건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음료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음식물 반입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예매 한도</t>
    </r>
  </si>
  <si>
    <t xml:space="preserve">T08</t>
  </si>
  <si>
    <t xml:space="preserve">kt wiz</t>
  </si>
  <si>
    <r>
      <rPr>
        <sz val="11"/>
        <rFont val="Noto Sans CJK SC"/>
        <family val="2"/>
      </rPr>
      <t xml:space="preserve">입장 시간 및 방법 </t>
    </r>
    <r>
      <rPr>
        <sz val="11"/>
        <rFont val="Calibri"/>
        <family val="0"/>
        <charset val="1"/>
      </rPr>
      <t xml:space="preserve">/ </t>
    </r>
    <r>
      <rPr>
        <sz val="11"/>
        <rFont val="Noto Sans CJK SC"/>
        <family val="2"/>
      </rPr>
      <t xml:space="preserve">구장 내 매장정보</t>
    </r>
  </si>
  <si>
    <t xml:space="preserve">https://www.ktwiz.co.kr/ticket/entrance</t>
  </si>
  <si>
    <r>
      <rPr>
        <sz val="11"/>
        <rFont val="Noto Sans CJK SC"/>
        <family val="2"/>
      </rPr>
      <t xml:space="preserve">입장 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시간 전 확인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매장정보는 </t>
    </r>
    <r>
      <rPr>
        <sz val="11"/>
        <rFont val="Calibri"/>
        <family val="0"/>
        <charset val="1"/>
      </rPr>
      <t xml:space="preserve">F&amp;B </t>
    </r>
    <r>
      <rPr>
        <sz val="11"/>
        <rFont val="Noto Sans CJK SC"/>
        <family val="2"/>
      </rPr>
      <t xml:space="preserve">안내도 이미지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장</t>
    </r>
  </si>
  <si>
    <t xml:space="preserve">T09</t>
  </si>
  <si>
    <t xml:space="preserve">서울시설공단</t>
  </si>
  <si>
    <t xml:space="preserve">고척스카이돔 시설현황</t>
  </si>
  <si>
    <r>
      <rPr>
        <sz val="11"/>
        <rFont val="Noto Sans CJK SC"/>
        <family val="2"/>
      </rPr>
      <t xml:space="preserve">주차 </t>
    </r>
    <r>
      <rPr>
        <sz val="11"/>
        <rFont val="Calibri"/>
        <family val="0"/>
        <charset val="1"/>
      </rPr>
      <t xml:space="preserve">484</t>
    </r>
    <r>
      <rPr>
        <sz val="11"/>
        <rFont val="Noto Sans CJK SC"/>
        <family val="2"/>
      </rPr>
      <t xml:space="preserve">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층별 매점 위치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관람석 </t>
    </r>
    <r>
      <rPr>
        <sz val="11"/>
        <rFont val="Calibri"/>
        <family val="0"/>
        <charset val="1"/>
      </rPr>
      <t xml:space="preserve">16,601</t>
    </r>
    <r>
      <rPr>
        <sz val="11"/>
        <rFont val="Noto Sans CJK SC"/>
        <family val="2"/>
      </rPr>
      <t xml:space="preserve">석</t>
    </r>
  </si>
  <si>
    <t xml:space="preserve">T10</t>
  </si>
  <si>
    <t xml:space="preserve">서울특별시</t>
  </si>
  <si>
    <t xml:space="preserve">잠실야구장 소개</t>
  </si>
  <si>
    <r>
      <rPr>
        <sz val="11"/>
        <rFont val="Noto Sans CJK SC"/>
        <family val="2"/>
      </rPr>
      <t xml:space="preserve">좌석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수용인원 교차검증 통과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면적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위탁운영 신규</t>
    </r>
  </si>
  <si>
    <t xml:space="preserve">T11</t>
  </si>
  <si>
    <t xml:space="preserve">KBO</t>
  </si>
  <si>
    <t xml:space="preserve">경기장 안전가이드라인</t>
  </si>
  <si>
    <r>
      <rPr>
        <sz val="11"/>
        <rFont val="Noto Sans CJK SC"/>
        <family val="2"/>
      </rPr>
      <t xml:space="preserve">리그 공식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이미지</t>
    </r>
    <r>
      <rPr>
        <sz val="11"/>
        <rFont val="Calibri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</si>
  <si>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재입장 조항 부재 확인 — </t>
    </r>
    <r>
      <rPr>
        <sz val="11"/>
        <rFont val="Calibri"/>
        <family val="0"/>
        <charset val="1"/>
      </rPr>
      <t xml:space="preserve">STRUCT_REENTRY </t>
    </r>
    <r>
      <rPr>
        <sz val="11"/>
        <rFont val="Noto Sans CJK SC"/>
        <family val="2"/>
      </rPr>
      <t xml:space="preserve">근거</t>
    </r>
  </si>
  <si>
    <t xml:space="preserve">T12</t>
  </si>
  <si>
    <r>
      <rPr>
        <sz val="11"/>
        <rFont val="Noto Sans CJK SC"/>
        <family val="2"/>
      </rPr>
      <t xml:space="preserve">롯데자이언츠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사직야구장 먹거리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주문 시스템 전면 개편</t>
    </r>
  </si>
  <si>
    <t xml:space="preserve">https://www.edaily.co.kr/News/Read?newsId=03690006645387256&amp;mediaCodeNo=257</t>
  </si>
  <si>
    <r>
      <rPr>
        <sz val="11"/>
        <rFont val="Noto Sans CJK SC"/>
        <family val="2"/>
      </rPr>
      <t xml:space="preserve">신규 </t>
    </r>
    <r>
      <rPr>
        <sz val="11"/>
        <rFont val="Calibri"/>
        <family val="0"/>
        <charset val="1"/>
      </rPr>
      <t xml:space="preserve">5</t>
    </r>
    <r>
      <rPr>
        <sz val="11"/>
        <rFont val="Noto Sans CJK SC"/>
        <family val="2"/>
      </rPr>
      <t xml:space="preserve">개 매장</t>
    </r>
    <r>
      <rPr>
        <sz val="11"/>
        <rFont val="Calibri"/>
        <family val="0"/>
        <charset val="1"/>
      </rPr>
      <t xml:space="preserve">·QR </t>
    </r>
    <r>
      <rPr>
        <sz val="11"/>
        <rFont val="Noto Sans CJK SC"/>
        <family val="2"/>
      </rPr>
      <t xml:space="preserve">스마트오더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원 구단 보도자료 추적 권장</t>
    </r>
  </si>
  <si>
    <t xml:space="preserve">T13</t>
  </si>
  <si>
    <t xml:space="preserve">대전 한화생명 볼파크 식음 입점 확정</t>
  </si>
  <si>
    <t xml:space="preserve">https://isplus.com/article/view/isp202502180074</t>
  </si>
  <si>
    <r>
      <rPr>
        <sz val="11"/>
        <rFont val="Calibri"/>
        <family val="0"/>
        <charset val="1"/>
      </rPr>
      <t xml:space="preserve">30</t>
    </r>
    <r>
      <rPr>
        <sz val="11"/>
        <rFont val="Noto Sans CJK SC"/>
        <family val="2"/>
      </rPr>
      <t xml:space="preserve">여개 브랜드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아라마크 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루측</t>
    </r>
  </si>
  <si>
    <t xml:space="preserve">T14</t>
  </si>
  <si>
    <t xml:space="preserve">노컷뉴스</t>
  </si>
  <si>
    <r>
      <rPr>
        <sz val="11"/>
        <rFont val="Noto Sans CJK SC"/>
        <family val="2"/>
      </rPr>
      <t xml:space="preserve">광주광역시</t>
    </r>
    <r>
      <rPr>
        <sz val="11"/>
        <rFont val="Calibri"/>
        <family val="0"/>
        <charset val="1"/>
      </rPr>
      <t xml:space="preserve">, </t>
    </r>
    <r>
      <rPr>
        <sz val="11"/>
        <rFont val="Noto Sans CJK SC"/>
        <family val="2"/>
      </rPr>
      <t xml:space="preserve">챔피언스필드 주차장 유료화 추진 논란</t>
    </r>
  </si>
  <si>
    <t xml:space="preserve">https://www.nocutnews.co.kr/news/6202752</t>
  </si>
  <si>
    <r>
      <rPr>
        <sz val="11"/>
        <rFont val="Noto Sans CJK SC"/>
        <family val="2"/>
      </rPr>
      <t xml:space="preserve">언론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참고용</t>
    </r>
    <r>
      <rPr>
        <sz val="11"/>
        <rFont val="Calibri"/>
        <family val="0"/>
        <charset val="1"/>
      </rPr>
      <t xml:space="preserve">)</t>
    </r>
  </si>
  <si>
    <t xml:space="preserve">2024-08-28</t>
  </si>
  <si>
    <r>
      <rPr>
        <sz val="11"/>
        <rFont val="Noto Sans CJK SC"/>
        <family val="2"/>
      </rPr>
      <t xml:space="preserve">면수 단서만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광주시 </t>
    </r>
    <r>
      <rPr>
        <sz val="11"/>
        <rFont val="Calibri"/>
        <family val="0"/>
        <charset val="1"/>
      </rPr>
      <t xml:space="preserve">'</t>
    </r>
    <r>
      <rPr>
        <sz val="11"/>
        <rFont val="Noto Sans CJK SC"/>
        <family val="2"/>
      </rPr>
      <t xml:space="preserve">확정 시책 아님</t>
    </r>
    <r>
      <rPr>
        <sz val="11"/>
        <rFont val="Calibri"/>
        <family val="0"/>
        <charset val="1"/>
      </rPr>
      <t xml:space="preserve">' → </t>
    </r>
    <r>
      <rPr>
        <sz val="11"/>
        <rFont val="Noto Sans CJK SC"/>
        <family val="2"/>
      </rPr>
      <t xml:space="preserve">확정 입력 불가</t>
    </r>
  </si>
  <si>
    <t xml:space="preserve">T15</t>
  </si>
  <si>
    <t xml:space="preserve">대구광역시</t>
  </si>
  <si>
    <t xml:space="preserve">통합주차정보시스템</t>
  </si>
  <si>
    <t xml:space="preserve">https://pis.daegu.go.kr/</t>
  </si>
  <si>
    <t xml:space="preserve">지자체 공식 시스템</t>
  </si>
  <si>
    <r>
      <rPr>
        <sz val="11"/>
        <rFont val="Calibri"/>
        <family val="0"/>
        <charset val="1"/>
      </rPr>
      <t xml:space="preserve">2026-09-05 </t>
    </r>
    <r>
      <rPr>
        <sz val="11"/>
        <rFont val="Noto Sans CJK SC"/>
        <family val="2"/>
      </rPr>
      <t xml:space="preserve">열람 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공지 </t>
    </r>
    <r>
      <rPr>
        <sz val="11"/>
        <rFont val="Calibri"/>
        <family val="0"/>
        <charset val="1"/>
      </rPr>
      <t xml:space="preserve">2026-04-07)</t>
    </r>
  </si>
  <si>
    <r>
      <rPr>
        <sz val="11"/>
        <rFont val="Noto Sans CJK SC"/>
        <family val="2"/>
      </rPr>
      <t xml:space="preserve">수성구 공영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민간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개방주차 실시간 정보 제공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</si>
</sst>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6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name val="Calibri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name val="Noto Sans CJK SC"/>
      <family val="2"/>
    </font>
    <font>
      <i val="true"/>
      <sz val="10"/>
      <name val="Calibri"/>
      <family val="0"/>
      <charset val="1"/>
    </font>
    <font>
      <i val="true"/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  <fill>
      <patternFill patternType="solid">
        <fgColor rgb="FF1D4ED8"/>
        <bgColor rgb="FF1E40A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D1D5DB"/>
      </bottom>
      <diagonal/>
    </border>
    <border diagonalUp="false" diagonalDown="false">
      <left/>
      <right style="thin">
        <color rgb="FFE5E7EB"/>
      </right>
      <top style="thin">
        <color rgb="FFE5E7EB"/>
      </top>
      <bottom style="thin">
        <color rgb="FFD1D5DB"/>
      </bottom>
      <diagonal/>
    </border>
    <border diagonalUp="false" diagonalDown="false">
      <left style="thin">
        <color rgb="FFE5E7EB"/>
      </left>
      <right/>
      <top/>
      <bottom/>
      <diagonal/>
    </border>
    <border diagonalUp="false" diagonalDown="false">
      <left/>
      <right style="thin">
        <color rgb="FFE5E7EB"/>
      </right>
      <top/>
      <bottom/>
      <diagonal/>
    </border>
    <border diagonalUp="false" diagonalDown="false">
      <left style="thin">
        <color rgb="FFE5E7EB"/>
      </left>
      <right/>
      <top style="thin">
        <color rgb="FFD1D5DB"/>
      </top>
      <bottom style="thin">
        <color rgb="FFD1D5DB"/>
      </bottom>
      <diagonal/>
    </border>
    <border diagonalUp="false" diagonalDown="false">
      <left/>
      <right style="thin">
        <color rgb="FFE5E7E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E5E7EB"/>
      </left>
      <right/>
      <top/>
      <bottom style="thin">
        <color rgb="FFE5E7EB"/>
      </bottom>
      <diagonal/>
    </border>
    <border diagonalUp="false" diagonalDown="false">
      <left/>
      <right style="thin">
        <color rgb="FFE5E7EB"/>
      </right>
      <top/>
      <bottom style="thin">
        <color rgb="FFE5E7EB"/>
      </bottom>
      <diagonal/>
    </border>
    <border diagonalUp="false" diagonalDown="false">
      <left/>
      <right/>
      <top style="thin">
        <color rgb="FFE5E7EB"/>
      </top>
      <bottom style="thin">
        <color rgb="FFD1D5DB"/>
      </bottom>
      <diagonal/>
    </border>
    <border diagonalUp="false" diagonalDown="false">
      <left/>
      <right/>
      <top/>
      <bottom style="thin">
        <color rgb="FFE5E7E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2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2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2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" xfId="2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2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ont>
        <b val="1"/>
        <color rgb="FF92400E"/>
      </font>
      <fill>
        <patternFill>
          <bgColor rgb="FFFEF3C7"/>
        </patternFill>
      </fill>
    </dxf>
    <dxf>
      <font>
        <b val="1"/>
        <color rgb="FF1E40AF"/>
      </font>
      <fill>
        <patternFill>
          <bgColor rgb="FFDBEAFE"/>
        </patternFill>
      </fill>
    </dxf>
    <dxf>
      <font>
        <b val="1"/>
        <color rgb="FF5B21B6"/>
      </font>
      <fill>
        <patternFill>
          <bgColor rgb="FFEDE9FE"/>
        </patternFill>
      </fill>
    </dxf>
    <dxf>
      <font>
        <color rgb="FF4B5563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5B21B6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EDE9F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16324F"/>
      <rgbColor rgb="FF339966"/>
      <rgbColor rgb="FF003300"/>
      <rgbColor rgb="FF333300"/>
      <rgbColor rgb="FF92400E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8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26.25" hidden="false" customHeight="true" outlineLevel="0" collapsed="false">
      <c r="A4" s="5" t="s">
        <v>3</v>
      </c>
      <c r="B4" s="6" t="s">
        <v>4</v>
      </c>
    </row>
    <row r="5" customFormat="false" ht="26.25" hidden="false" customHeight="true" outlineLevel="0" collapsed="false">
      <c r="A5" s="5" t="s">
        <v>5</v>
      </c>
      <c r="B5" s="6" t="s">
        <v>6</v>
      </c>
    </row>
    <row r="6" customFormat="false" ht="15" hidden="false" customHeight="true" outlineLevel="0" collapsed="false">
      <c r="A6" s="5" t="s">
        <v>7</v>
      </c>
      <c r="B6" s="6" t="s">
        <v>8</v>
      </c>
    </row>
    <row r="7" customFormat="false" ht="26.25" hidden="false" customHeight="true" outlineLevel="0" collapsed="false">
      <c r="A7" s="5" t="s">
        <v>9</v>
      </c>
      <c r="B7" s="6" t="s">
        <v>10</v>
      </c>
    </row>
    <row r="8" customFormat="false" ht="26.25" hidden="false" customHeight="true" outlineLevel="0" collapsed="false">
      <c r="A8" s="5" t="s">
        <v>11</v>
      </c>
      <c r="B8" s="6" t="s">
        <v>12</v>
      </c>
    </row>
    <row r="9" customFormat="false" ht="26.25" hidden="false" customHeight="true" outlineLevel="0" collapsed="false">
      <c r="A9" s="5" t="s">
        <v>13</v>
      </c>
      <c r="B9" s="7" t="s">
        <v>14</v>
      </c>
    </row>
    <row r="10" customFormat="false" ht="15" hidden="false" customHeight="true" outlineLevel="0" collapsed="false">
      <c r="A10" s="5"/>
      <c r="B10" s="7"/>
    </row>
    <row r="11" customFormat="false" ht="15" hidden="false" customHeight="true" outlineLevel="0" collapsed="false">
      <c r="A11" s="8" t="s">
        <v>15</v>
      </c>
      <c r="B11" s="9" t="s">
        <v>2</v>
      </c>
    </row>
    <row r="12" customFormat="false" ht="26.25" hidden="false" customHeight="true" outlineLevel="0" collapsed="false">
      <c r="A12" s="10" t="s">
        <v>16</v>
      </c>
      <c r="B12" s="6" t="s">
        <v>17</v>
      </c>
    </row>
    <row r="13" customFormat="false" ht="15" hidden="false" customHeight="true" outlineLevel="0" collapsed="false">
      <c r="A13" s="10" t="s">
        <v>18</v>
      </c>
      <c r="B13" s="6" t="s">
        <v>19</v>
      </c>
    </row>
    <row r="14" customFormat="false" ht="15" hidden="false" customHeight="true" outlineLevel="0" collapsed="false">
      <c r="A14" s="10" t="s">
        <v>20</v>
      </c>
      <c r="B14" s="6" t="s">
        <v>21</v>
      </c>
    </row>
    <row r="15" customFormat="false" ht="15" hidden="false" customHeight="true" outlineLevel="0" collapsed="false">
      <c r="A15" s="10" t="s">
        <v>22</v>
      </c>
      <c r="B15" s="6" t="s">
        <v>23</v>
      </c>
    </row>
    <row r="16" customFormat="false" ht="26.25" hidden="false" customHeight="true" outlineLevel="0" collapsed="false">
      <c r="A16" s="11" t="s">
        <v>24</v>
      </c>
      <c r="B16" s="12" t="s">
        <v>25</v>
      </c>
    </row>
    <row r="18" customFormat="false" ht="48.5" hidden="false" customHeight="false" outlineLevel="0" collapsed="false">
      <c r="A18" s="13" t="s">
        <v>26</v>
      </c>
      <c r="B18" s="14" t="s">
        <v>27</v>
      </c>
    </row>
    <row r="19" customFormat="false" ht="32.8" hidden="false" customHeight="false" outlineLevel="0" collapsed="false">
      <c r="A19" s="13" t="s">
        <v>28</v>
      </c>
      <c r="B19" s="15" t="s">
        <v>29</v>
      </c>
    </row>
    <row r="20" customFormat="false" ht="32.8" hidden="false" customHeight="false" outlineLevel="0" collapsed="false">
      <c r="A20" s="13" t="s">
        <v>30</v>
      </c>
      <c r="B20" s="14" t="s">
        <v>31</v>
      </c>
    </row>
    <row r="21" customFormat="false" ht="32.8" hidden="false" customHeight="false" outlineLevel="0" collapsed="false">
      <c r="A21" s="13" t="s">
        <v>32</v>
      </c>
      <c r="B21" s="15" t="s">
        <v>33</v>
      </c>
    </row>
    <row r="22" customFormat="false" ht="32.8" hidden="false" customHeight="false" outlineLevel="0" collapsed="false">
      <c r="A22" s="13" t="s">
        <v>34</v>
      </c>
      <c r="B22" s="15" t="s">
        <v>35</v>
      </c>
    </row>
    <row r="23" customFormat="false" ht="32.8" hidden="false" customHeight="false" outlineLevel="0" collapsed="false">
      <c r="A23" s="13" t="s">
        <v>36</v>
      </c>
      <c r="B23" s="15" t="s">
        <v>37</v>
      </c>
    </row>
    <row r="25" customFormat="false" ht="48.5" hidden="false" customHeight="false" outlineLevel="0" collapsed="false">
      <c r="A25" s="13" t="s">
        <v>38</v>
      </c>
      <c r="B25" s="15" t="s">
        <v>39</v>
      </c>
    </row>
    <row r="26" customFormat="false" ht="32.8" hidden="false" customHeight="false" outlineLevel="0" collapsed="false">
      <c r="A26" s="13" t="s">
        <v>40</v>
      </c>
      <c r="B26" s="14" t="s">
        <v>41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4"/>
    <col collapsed="false" customWidth="true" hidden="false" outlineLevel="0" max="7" min="6" style="1" width="18"/>
  </cols>
  <sheetData>
    <row r="1" customFormat="false" ht="18.75" hidden="false" customHeight="true" outlineLevel="0" collapsed="false">
      <c r="A1" s="2" t="s">
        <v>42</v>
      </c>
      <c r="B1" s="2"/>
      <c r="C1" s="2"/>
      <c r="D1" s="2"/>
      <c r="E1" s="2"/>
      <c r="F1" s="2"/>
    </row>
    <row r="3" customFormat="false" ht="26.25" hidden="false" customHeight="true" outlineLevel="0" collapsed="false">
      <c r="A3" s="3" t="s">
        <v>43</v>
      </c>
      <c r="B3" s="16" t="s">
        <v>44</v>
      </c>
      <c r="C3" s="17" t="s">
        <v>5</v>
      </c>
      <c r="D3" s="17" t="s">
        <v>7</v>
      </c>
      <c r="E3" s="17" t="s">
        <v>9</v>
      </c>
      <c r="F3" s="18" t="s">
        <v>11</v>
      </c>
    </row>
    <row r="4" customFormat="false" ht="26.25" hidden="false" customHeight="true" outlineLevel="0" collapsed="false">
      <c r="A4" s="19" t="s">
        <v>45</v>
      </c>
      <c r="B4" s="20" t="n">
        <v>26</v>
      </c>
      <c r="C4" s="20" t="n">
        <v>22</v>
      </c>
      <c r="D4" s="20" t="n">
        <v>2</v>
      </c>
      <c r="E4" s="20" t="n">
        <v>1</v>
      </c>
      <c r="F4" s="21" t="n">
        <v>1</v>
      </c>
    </row>
    <row r="5" customFormat="false" ht="39" hidden="false" customHeight="true" outlineLevel="0" collapsed="false">
      <c r="A5" s="19" t="s">
        <v>46</v>
      </c>
      <c r="B5" s="20" t="n">
        <v>9</v>
      </c>
      <c r="C5" s="20" t="n">
        <v>7</v>
      </c>
      <c r="D5" s="20" t="n">
        <v>0</v>
      </c>
      <c r="E5" s="20" t="n">
        <v>0</v>
      </c>
      <c r="F5" s="21" t="n">
        <v>2</v>
      </c>
    </row>
    <row r="6" customFormat="false" ht="15" hidden="false" customHeight="true" outlineLevel="0" collapsed="false">
      <c r="A6" s="22" t="s">
        <v>47</v>
      </c>
      <c r="B6" s="23" t="n">
        <v>35</v>
      </c>
      <c r="C6" s="23" t="n">
        <v>29</v>
      </c>
      <c r="D6" s="23" t="n">
        <v>2</v>
      </c>
      <c r="E6" s="23" t="n">
        <v>1</v>
      </c>
      <c r="F6" s="24" t="n">
        <v>3</v>
      </c>
    </row>
    <row r="7" customFormat="false" ht="15" hidden="false" customHeight="true" outlineLevel="0" collapsed="false">
      <c r="A7" s="25"/>
      <c r="B7" s="25"/>
      <c r="C7" s="25"/>
      <c r="D7" s="25"/>
      <c r="E7" s="25"/>
      <c r="F7" s="25"/>
    </row>
    <row r="8" customFormat="false" ht="26.25" hidden="false" customHeight="true" outlineLevel="0" collapsed="false">
      <c r="A8" s="26" t="s">
        <v>48</v>
      </c>
      <c r="B8" s="27" t="s">
        <v>49</v>
      </c>
      <c r="C8" s="27"/>
      <c r="D8" s="27"/>
      <c r="E8" s="27"/>
      <c r="F8" s="27"/>
    </row>
    <row r="10" customFormat="false" ht="19.4" hidden="false" customHeight="false" outlineLevel="0" collapsed="false">
      <c r="A10" s="28" t="s">
        <v>50</v>
      </c>
    </row>
    <row r="11" customFormat="false" ht="28.35" hidden="false" customHeight="false" outlineLevel="0" collapsed="false">
      <c r="A11" s="29" t="s">
        <v>43</v>
      </c>
      <c r="B11" s="29" t="s">
        <v>44</v>
      </c>
      <c r="C11" s="30" t="s">
        <v>28</v>
      </c>
      <c r="D11" s="30" t="s">
        <v>30</v>
      </c>
      <c r="E11" s="30" t="s">
        <v>32</v>
      </c>
      <c r="F11" s="30" t="s">
        <v>36</v>
      </c>
      <c r="G11" s="30" t="s">
        <v>34</v>
      </c>
    </row>
    <row r="12" customFormat="false" ht="17.15" hidden="false" customHeight="false" outlineLevel="0" collapsed="false">
      <c r="A12" s="15" t="s">
        <v>45</v>
      </c>
      <c r="B12" s="14" t="n">
        <f aca="false">COUNTA(파일1_구장정보!$A$4:$A$29)</f>
        <v>26</v>
      </c>
      <c r="C12" s="14" t="n">
        <f aca="false">COUNTIF(파일1_구장정보!$N$4:$N$29,"RESOLVABLE")</f>
        <v>3</v>
      </c>
      <c r="D12" s="14" t="n">
        <f aca="false">COUNTIF(파일1_구장정보!$N$4:$N$29,"PARTIAL_FILLED")</f>
        <v>3</v>
      </c>
      <c r="E12" s="14" t="n">
        <f aca="false">COUNTIF(파일1_구장정보!$N$4:$N$29,"NOT_PUBLIC")</f>
        <v>1</v>
      </c>
      <c r="F12" s="14" t="n">
        <f aca="false">COUNTIF(파일1_구장정보!$N$4:$N$29,"DERIVED_ONLY")</f>
        <v>1</v>
      </c>
      <c r="G12" s="14" t="n">
        <f aca="false">COUNTIF(파일1_구장정보!$N$4:$N$29,"STRUCTURAL_GAP")</f>
        <v>18</v>
      </c>
    </row>
    <row r="13" customFormat="false" ht="17.15" hidden="false" customHeight="false" outlineLevel="0" collapsed="false">
      <c r="A13" s="15" t="s">
        <v>46</v>
      </c>
      <c r="B13" s="14" t="n">
        <f aca="false">COUNTA('파일2_F&amp;B콘텐츠'!$A$4:$A$12)</f>
        <v>9</v>
      </c>
      <c r="C13" s="14" t="n">
        <f aca="false">COUNTIF('파일2_F&amp;B콘텐츠'!$L$4:$L$12,"RESOLVABLE")</f>
        <v>0</v>
      </c>
      <c r="D13" s="14" t="n">
        <f aca="false">COUNTIF('파일2_F&amp;B콘텐츠'!$L$4:$L$12,"PARTIAL_FILLED")</f>
        <v>3</v>
      </c>
      <c r="E13" s="14" t="n">
        <f aca="false">COUNTIF('파일2_F&amp;B콘텐츠'!$L$4:$L$12,"NOT_PUBLIC")</f>
        <v>0</v>
      </c>
      <c r="F13" s="14" t="n">
        <f aca="false">COUNTIF('파일2_F&amp;B콘텐츠'!$L$4:$L$12,"DERIVED_ONLY")</f>
        <v>0</v>
      </c>
      <c r="G13" s="14" t="n">
        <f aca="false">COUNTIF('파일2_F&amp;B콘텐츠'!$L$4:$L$12,"STRUCTURAL_GAP")</f>
        <v>6</v>
      </c>
    </row>
    <row r="14" customFormat="false" ht="17.15" hidden="false" customHeight="false" outlineLevel="0" collapsed="false">
      <c r="A14" s="31" t="s">
        <v>47</v>
      </c>
      <c r="B14" s="13" t="n">
        <f aca="false">B12+B13</f>
        <v>35</v>
      </c>
      <c r="C14" s="13" t="n">
        <f aca="false">C12+C13</f>
        <v>3</v>
      </c>
      <c r="D14" s="13" t="n">
        <f aca="false">D12+D13</f>
        <v>6</v>
      </c>
      <c r="E14" s="13" t="n">
        <f aca="false">E12+E13</f>
        <v>1</v>
      </c>
      <c r="F14" s="13" t="n">
        <f aca="false">F12+F13</f>
        <v>1</v>
      </c>
      <c r="G14" s="13" t="n">
        <f aca="false">G12+G13</f>
        <v>24</v>
      </c>
    </row>
    <row r="16" customFormat="false" ht="75.75" hidden="false" customHeight="true" outlineLevel="0" collapsed="false">
      <c r="A16" s="32" t="s">
        <v>51</v>
      </c>
      <c r="B16" s="14" t="s">
        <v>52</v>
      </c>
      <c r="C16" s="14"/>
      <c r="D16" s="14"/>
      <c r="E16" s="14"/>
      <c r="F16" s="14"/>
      <c r="G16" s="14"/>
    </row>
  </sheetData>
  <mergeCells count="3">
    <mergeCell ref="A1:F1"/>
    <mergeCell ref="B8:F8"/>
    <mergeCell ref="B16:G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4"/>
    <col collapsed="false" customWidth="true" hidden="false" outlineLevel="0" max="6" min="6" style="1" width="46"/>
  </cols>
  <sheetData>
    <row r="1" customFormat="false" ht="23.85" hidden="false" customHeight="false" outlineLevel="0" collapsed="false">
      <c r="A1" s="33" t="s">
        <v>53</v>
      </c>
      <c r="B1" s="33"/>
      <c r="C1" s="33"/>
      <c r="D1" s="33"/>
      <c r="E1" s="33"/>
      <c r="F1" s="33"/>
    </row>
    <row r="3" customFormat="false" ht="17.15" hidden="false" customHeight="false" outlineLevel="0" collapsed="false">
      <c r="A3" s="29" t="s">
        <v>54</v>
      </c>
      <c r="B3" s="29" t="s">
        <v>55</v>
      </c>
      <c r="C3" s="29" t="s">
        <v>56</v>
      </c>
      <c r="D3" s="29" t="s">
        <v>57</v>
      </c>
      <c r="E3" s="29" t="s">
        <v>58</v>
      </c>
      <c r="F3" s="29" t="s">
        <v>59</v>
      </c>
    </row>
    <row r="4" customFormat="false" ht="64.15" hidden="false" customHeight="false" outlineLevel="0" collapsed="false">
      <c r="A4" s="13" t="s">
        <v>60</v>
      </c>
      <c r="B4" s="15" t="s">
        <v>61</v>
      </c>
      <c r="C4" s="14" t="n">
        <f aca="false">COUNTIF(파일1_구장정보!$M$4:$M$29,"재입장 규정")</f>
        <v>10</v>
      </c>
      <c r="D4" s="15" t="s">
        <v>62</v>
      </c>
      <c r="E4" s="14" t="s">
        <v>63</v>
      </c>
      <c r="F4" s="15" t="s">
        <v>64</v>
      </c>
    </row>
    <row r="5" customFormat="false" ht="48.5" hidden="false" customHeight="false" outlineLevel="0" collapsed="false">
      <c r="A5" s="13" t="s">
        <v>65</v>
      </c>
      <c r="B5" s="15" t="s">
        <v>66</v>
      </c>
      <c r="C5" s="14" t="n">
        <f aca="false">COUNTIF(파일1_구장정보!$M$4:$M$29,"좌석 시야·지붕")</f>
        <v>9</v>
      </c>
      <c r="D5" s="15" t="s">
        <v>67</v>
      </c>
      <c r="E5" s="15" t="s">
        <v>68</v>
      </c>
      <c r="F5" s="15" t="s">
        <v>69</v>
      </c>
    </row>
    <row r="6" customFormat="false" ht="48.5" hidden="false" customHeight="false" outlineLevel="0" collapsed="false">
      <c r="A6" s="13" t="s">
        <v>70</v>
      </c>
      <c r="B6" s="15" t="s">
        <v>71</v>
      </c>
      <c r="C6" s="14" t="n">
        <f aca="false">COUNTIF('파일2_F&amp;B콘텐츠'!$K$4:$K$12,"매장별 운영시간")</f>
        <v>9</v>
      </c>
      <c r="D6" s="15" t="s">
        <v>72</v>
      </c>
      <c r="E6" s="14" t="s">
        <v>73</v>
      </c>
      <c r="F6" s="15" t="s">
        <v>74</v>
      </c>
    </row>
    <row r="7" customFormat="false" ht="48.5" hidden="false" customHeight="false" outlineLevel="0" collapsed="false">
      <c r="A7" s="13" t="s">
        <v>75</v>
      </c>
      <c r="B7" s="15" t="s">
        <v>76</v>
      </c>
      <c r="C7" s="14" t="n">
        <f aca="false">COUNTIF(파일1_구장정보!$M$4:$M$29,"비공개 가격")</f>
        <v>2</v>
      </c>
      <c r="D7" s="15" t="s">
        <v>77</v>
      </c>
      <c r="E7" s="14" t="s">
        <v>78</v>
      </c>
      <c r="F7" s="14" t="s">
        <v>79</v>
      </c>
    </row>
    <row r="8" customFormat="false" ht="32.8" hidden="false" customHeight="false" outlineLevel="0" collapsed="false">
      <c r="A8" s="13" t="s">
        <v>28</v>
      </c>
      <c r="B8" s="15" t="s">
        <v>80</v>
      </c>
      <c r="C8" s="14" t="n">
        <f aca="false">COUNTIF(파일1_구장정보!$M$4:$M$29,"해결 가능")</f>
        <v>5</v>
      </c>
      <c r="D8" s="15" t="s">
        <v>81</v>
      </c>
      <c r="E8" s="15" t="s">
        <v>82</v>
      </c>
      <c r="F8" s="15" t="s">
        <v>83</v>
      </c>
    </row>
    <row r="9" customFormat="false" ht="17.15" hidden="false" customHeight="false" outlineLevel="0" collapsed="false">
      <c r="A9" s="31" t="s">
        <v>47</v>
      </c>
      <c r="B9" s="14"/>
      <c r="C9" s="13" t="n">
        <f aca="false">SUM(C4:C8)</f>
        <v>35</v>
      </c>
      <c r="D9" s="14"/>
      <c r="E9" s="14"/>
      <c r="F9" s="1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8"/>
    <col collapsed="false" customWidth="true" hidden="false" outlineLevel="0" max="6" min="6" style="1" width="35"/>
    <col collapsed="false" customWidth="true" hidden="false" outlineLevel="0" max="7" min="7" style="1" width="42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0" min="10" style="1" width="42"/>
    <col collapsed="false" customWidth="true" hidden="false" outlineLevel="0" max="11" min="11" style="1" width="34"/>
    <col collapsed="false" customWidth="true" hidden="false" outlineLevel="0" max="12" min="12" style="1" width="48"/>
    <col collapsed="false" customWidth="true" hidden="false" outlineLevel="0" max="14" min="13" style="1" width="18"/>
    <col collapsed="false" customWidth="true" hidden="false" outlineLevel="0" max="15" min="15" style="1" width="60"/>
    <col collapsed="false" customWidth="true" hidden="false" outlineLevel="0" max="16" min="16" style="1" width="46"/>
  </cols>
  <sheetData>
    <row r="1" customFormat="false" ht="27.75" hidden="false" customHeight="true" outlineLevel="0" collapsed="false">
      <c r="A1" s="34" t="s">
        <v>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3" customFormat="false" ht="15" hidden="false" customHeight="true" outlineLevel="0" collapsed="false">
      <c r="A3" s="35" t="s">
        <v>85</v>
      </c>
      <c r="B3" s="36" t="s">
        <v>86</v>
      </c>
      <c r="C3" s="36" t="s">
        <v>87</v>
      </c>
      <c r="D3" s="36" t="s">
        <v>88</v>
      </c>
      <c r="E3" s="36" t="s">
        <v>89</v>
      </c>
      <c r="F3" s="36" t="s">
        <v>90</v>
      </c>
      <c r="G3" s="36" t="s">
        <v>91</v>
      </c>
      <c r="H3" s="36" t="s">
        <v>92</v>
      </c>
      <c r="I3" s="36" t="s">
        <v>93</v>
      </c>
      <c r="J3" s="36" t="s">
        <v>94</v>
      </c>
      <c r="K3" s="36" t="s">
        <v>95</v>
      </c>
      <c r="L3" s="37" t="s">
        <v>96</v>
      </c>
      <c r="M3" s="29" t="s">
        <v>97</v>
      </c>
      <c r="N3" s="30" t="s">
        <v>98</v>
      </c>
      <c r="O3" s="30" t="s">
        <v>99</v>
      </c>
      <c r="P3" s="30" t="s">
        <v>100</v>
      </c>
    </row>
    <row r="4" customFormat="false" ht="39" hidden="false" customHeight="true" outlineLevel="0" collapsed="false">
      <c r="A4" s="38" t="n">
        <v>1</v>
      </c>
      <c r="B4" s="25" t="s">
        <v>101</v>
      </c>
      <c r="C4" s="25" t="s">
        <v>102</v>
      </c>
      <c r="D4" s="25" t="s">
        <v>103</v>
      </c>
      <c r="E4" s="25" t="s">
        <v>104</v>
      </c>
      <c r="F4" s="25" t="s">
        <v>105</v>
      </c>
      <c r="G4" s="25" t="s">
        <v>106</v>
      </c>
      <c r="H4" s="25" t="s">
        <v>105</v>
      </c>
      <c r="I4" s="39" t="s">
        <v>5</v>
      </c>
      <c r="J4" s="27" t="s">
        <v>107</v>
      </c>
      <c r="K4" s="25" t="s">
        <v>108</v>
      </c>
      <c r="L4" s="7" t="s">
        <v>109</v>
      </c>
      <c r="M4" s="15" t="s">
        <v>76</v>
      </c>
      <c r="N4" s="14" t="s">
        <v>30</v>
      </c>
      <c r="O4" s="14" t="s">
        <v>110</v>
      </c>
      <c r="P4" s="14" t="s">
        <v>111</v>
      </c>
    </row>
    <row r="5" customFormat="false" ht="26.25" hidden="false" customHeight="true" outlineLevel="0" collapsed="false">
      <c r="A5" s="38" t="n">
        <v>2</v>
      </c>
      <c r="B5" s="25" t="s">
        <v>101</v>
      </c>
      <c r="C5" s="25" t="s">
        <v>112</v>
      </c>
      <c r="D5" s="25" t="s">
        <v>113</v>
      </c>
      <c r="E5" s="25" t="s">
        <v>104</v>
      </c>
      <c r="F5" s="27" t="s">
        <v>114</v>
      </c>
      <c r="G5" s="25" t="s">
        <v>115</v>
      </c>
      <c r="H5" s="27" t="s">
        <v>116</v>
      </c>
      <c r="I5" s="39" t="s">
        <v>5</v>
      </c>
      <c r="J5" s="27" t="s">
        <v>117</v>
      </c>
      <c r="K5" s="27" t="s">
        <v>118</v>
      </c>
      <c r="L5" s="7" t="s">
        <v>119</v>
      </c>
      <c r="M5" s="15" t="s">
        <v>76</v>
      </c>
      <c r="N5" s="14" t="s">
        <v>32</v>
      </c>
      <c r="O5" s="15" t="s">
        <v>120</v>
      </c>
      <c r="P5" s="14" t="s">
        <v>121</v>
      </c>
    </row>
    <row r="6" customFormat="false" ht="39" hidden="false" customHeight="true" outlineLevel="0" collapsed="false">
      <c r="A6" s="38" t="n">
        <v>3</v>
      </c>
      <c r="B6" s="25" t="s">
        <v>122</v>
      </c>
      <c r="C6" s="25" t="s">
        <v>123</v>
      </c>
      <c r="D6" s="25" t="s">
        <v>124</v>
      </c>
      <c r="E6" s="25" t="s">
        <v>125</v>
      </c>
      <c r="F6" s="27" t="s">
        <v>126</v>
      </c>
      <c r="G6" s="25" t="s">
        <v>127</v>
      </c>
      <c r="H6" s="27" t="s">
        <v>126</v>
      </c>
      <c r="I6" s="39" t="s">
        <v>5</v>
      </c>
      <c r="J6" s="27" t="s">
        <v>128</v>
      </c>
      <c r="K6" s="25" t="s">
        <v>129</v>
      </c>
      <c r="L6" s="7"/>
      <c r="M6" s="15" t="s">
        <v>80</v>
      </c>
      <c r="N6" s="14" t="s">
        <v>36</v>
      </c>
      <c r="O6" s="14" t="s">
        <v>130</v>
      </c>
      <c r="P6" s="14" t="s">
        <v>131</v>
      </c>
    </row>
    <row r="7" customFormat="false" ht="39" hidden="false" customHeight="true" outlineLevel="0" collapsed="false">
      <c r="A7" s="38" t="n">
        <v>4</v>
      </c>
      <c r="B7" s="25" t="s">
        <v>122</v>
      </c>
      <c r="C7" s="25" t="s">
        <v>132</v>
      </c>
      <c r="D7" s="25" t="s">
        <v>133</v>
      </c>
      <c r="E7" s="25" t="s">
        <v>134</v>
      </c>
      <c r="F7" s="27" t="s">
        <v>135</v>
      </c>
      <c r="G7" s="27" t="s">
        <v>136</v>
      </c>
      <c r="H7" s="27" t="s">
        <v>137</v>
      </c>
      <c r="I7" s="39" t="s">
        <v>7</v>
      </c>
      <c r="J7" s="27" t="s">
        <v>138</v>
      </c>
      <c r="K7" s="27" t="s">
        <v>139</v>
      </c>
      <c r="L7" s="7" t="s">
        <v>140</v>
      </c>
      <c r="M7" s="15" t="s">
        <v>80</v>
      </c>
      <c r="N7" s="14" t="s">
        <v>28</v>
      </c>
      <c r="O7" s="15" t="s">
        <v>141</v>
      </c>
      <c r="P7" s="15" t="s">
        <v>142</v>
      </c>
    </row>
    <row r="8" customFormat="false" ht="52.5" hidden="false" customHeight="true" outlineLevel="0" collapsed="false">
      <c r="A8" s="38" t="n">
        <v>5</v>
      </c>
      <c r="B8" s="25" t="s">
        <v>122</v>
      </c>
      <c r="C8" s="25" t="s">
        <v>132</v>
      </c>
      <c r="D8" s="25" t="s">
        <v>133</v>
      </c>
      <c r="E8" s="25" t="s">
        <v>143</v>
      </c>
      <c r="F8" s="27" t="s">
        <v>144</v>
      </c>
      <c r="G8" s="27" t="s">
        <v>145</v>
      </c>
      <c r="H8" s="25" t="s">
        <v>146</v>
      </c>
      <c r="I8" s="39" t="s">
        <v>7</v>
      </c>
      <c r="J8" s="27" t="s">
        <v>147</v>
      </c>
      <c r="K8" s="27" t="s">
        <v>148</v>
      </c>
      <c r="L8" s="7" t="s">
        <v>149</v>
      </c>
      <c r="M8" s="15" t="s">
        <v>80</v>
      </c>
      <c r="N8" s="14" t="s">
        <v>30</v>
      </c>
      <c r="O8" s="15" t="s">
        <v>150</v>
      </c>
      <c r="P8" s="14" t="s">
        <v>151</v>
      </c>
    </row>
    <row r="9" customFormat="false" ht="39" hidden="false" customHeight="true" outlineLevel="0" collapsed="false">
      <c r="A9" s="38" t="n">
        <v>6</v>
      </c>
      <c r="B9" s="25" t="s">
        <v>122</v>
      </c>
      <c r="C9" s="25" t="s">
        <v>112</v>
      </c>
      <c r="D9" s="25" t="s">
        <v>113</v>
      </c>
      <c r="E9" s="25" t="s">
        <v>143</v>
      </c>
      <c r="F9" s="25" t="s">
        <v>152</v>
      </c>
      <c r="G9" s="27" t="s">
        <v>153</v>
      </c>
      <c r="H9" s="25" t="s">
        <v>154</v>
      </c>
      <c r="I9" s="39" t="s">
        <v>11</v>
      </c>
      <c r="J9" s="27" t="s">
        <v>155</v>
      </c>
      <c r="K9" s="27" t="s">
        <v>156</v>
      </c>
      <c r="L9" s="7" t="s">
        <v>157</v>
      </c>
      <c r="M9" s="15" t="s">
        <v>80</v>
      </c>
      <c r="N9" s="14" t="s">
        <v>28</v>
      </c>
      <c r="O9" s="15" t="s">
        <v>158</v>
      </c>
      <c r="P9" s="14" t="s">
        <v>159</v>
      </c>
    </row>
    <row r="10" customFormat="false" ht="39" hidden="false" customHeight="true" outlineLevel="0" collapsed="false">
      <c r="A10" s="38" t="n">
        <v>7</v>
      </c>
      <c r="B10" s="25" t="s">
        <v>122</v>
      </c>
      <c r="C10" s="25" t="s">
        <v>123</v>
      </c>
      <c r="D10" s="25" t="s">
        <v>124</v>
      </c>
      <c r="E10" s="25" t="s">
        <v>143</v>
      </c>
      <c r="F10" s="25" t="s">
        <v>160</v>
      </c>
      <c r="G10" s="25" t="s">
        <v>161</v>
      </c>
      <c r="H10" s="25" t="s">
        <v>160</v>
      </c>
      <c r="I10" s="39" t="s">
        <v>5</v>
      </c>
      <c r="J10" s="27" t="s">
        <v>162</v>
      </c>
      <c r="K10" s="25" t="s">
        <v>163</v>
      </c>
      <c r="L10" s="7"/>
      <c r="M10" s="15" t="s">
        <v>80</v>
      </c>
      <c r="N10" s="14" t="s">
        <v>28</v>
      </c>
      <c r="O10" s="15" t="s">
        <v>164</v>
      </c>
      <c r="P10" s="14" t="s">
        <v>165</v>
      </c>
    </row>
    <row r="11" customFormat="false" ht="39" hidden="false" customHeight="true" outlineLevel="0" collapsed="false">
      <c r="A11" s="38" t="n">
        <v>8</v>
      </c>
      <c r="B11" s="25" t="s">
        <v>122</v>
      </c>
      <c r="C11" s="25" t="s">
        <v>166</v>
      </c>
      <c r="D11" s="25" t="s">
        <v>167</v>
      </c>
      <c r="E11" s="25" t="s">
        <v>168</v>
      </c>
      <c r="F11" s="25" t="s">
        <v>169</v>
      </c>
      <c r="G11" s="27" t="s">
        <v>170</v>
      </c>
      <c r="H11" s="25" t="s">
        <v>169</v>
      </c>
      <c r="I11" s="39" t="s">
        <v>5</v>
      </c>
      <c r="J11" s="27" t="s">
        <v>171</v>
      </c>
      <c r="K11" s="25" t="s">
        <v>172</v>
      </c>
      <c r="L11" s="7"/>
      <c r="M11" s="15" t="s">
        <v>66</v>
      </c>
      <c r="N11" s="14" t="s">
        <v>34</v>
      </c>
      <c r="O11" s="14" t="s">
        <v>173</v>
      </c>
      <c r="P11" s="15" t="s">
        <v>174</v>
      </c>
    </row>
    <row r="12" customFormat="false" ht="39" hidden="false" customHeight="true" outlineLevel="0" collapsed="false">
      <c r="A12" s="38" t="n">
        <v>9</v>
      </c>
      <c r="B12" s="25" t="s">
        <v>122</v>
      </c>
      <c r="C12" s="25" t="s">
        <v>166</v>
      </c>
      <c r="D12" s="25" t="s">
        <v>175</v>
      </c>
      <c r="E12" s="25" t="s">
        <v>168</v>
      </c>
      <c r="F12" s="27" t="s">
        <v>176</v>
      </c>
      <c r="G12" s="27" t="s">
        <v>170</v>
      </c>
      <c r="H12" s="27" t="s">
        <v>176</v>
      </c>
      <c r="I12" s="39" t="s">
        <v>5</v>
      </c>
      <c r="J12" s="27" t="s">
        <v>171</v>
      </c>
      <c r="K12" s="27" t="s">
        <v>177</v>
      </c>
      <c r="L12" s="7"/>
      <c r="M12" s="15" t="s">
        <v>66</v>
      </c>
      <c r="N12" s="14" t="s">
        <v>34</v>
      </c>
      <c r="O12" s="14" t="s">
        <v>173</v>
      </c>
      <c r="P12" s="15" t="s">
        <v>174</v>
      </c>
    </row>
    <row r="13" customFormat="false" ht="39" hidden="false" customHeight="true" outlineLevel="0" collapsed="false">
      <c r="A13" s="38" t="n">
        <v>10</v>
      </c>
      <c r="B13" s="25" t="s">
        <v>122</v>
      </c>
      <c r="C13" s="25" t="s">
        <v>178</v>
      </c>
      <c r="D13" s="25" t="s">
        <v>179</v>
      </c>
      <c r="E13" s="25" t="s">
        <v>168</v>
      </c>
      <c r="F13" s="27" t="s">
        <v>180</v>
      </c>
      <c r="G13" s="27" t="s">
        <v>170</v>
      </c>
      <c r="H13" s="27" t="s">
        <v>180</v>
      </c>
      <c r="I13" s="39" t="s">
        <v>5</v>
      </c>
      <c r="J13" s="27" t="s">
        <v>171</v>
      </c>
      <c r="K13" s="25" t="s">
        <v>181</v>
      </c>
      <c r="L13" s="7"/>
      <c r="M13" s="15" t="s">
        <v>66</v>
      </c>
      <c r="N13" s="14" t="s">
        <v>34</v>
      </c>
      <c r="O13" s="14" t="s">
        <v>173</v>
      </c>
      <c r="P13" s="15" t="s">
        <v>174</v>
      </c>
    </row>
    <row r="14" customFormat="false" ht="39" hidden="false" customHeight="true" outlineLevel="0" collapsed="false">
      <c r="A14" s="38" t="n">
        <v>11</v>
      </c>
      <c r="B14" s="25" t="s">
        <v>122</v>
      </c>
      <c r="C14" s="25" t="s">
        <v>182</v>
      </c>
      <c r="D14" s="25" t="s">
        <v>183</v>
      </c>
      <c r="E14" s="25" t="s">
        <v>168</v>
      </c>
      <c r="F14" s="27" t="s">
        <v>180</v>
      </c>
      <c r="G14" s="27" t="s">
        <v>170</v>
      </c>
      <c r="H14" s="27" t="s">
        <v>180</v>
      </c>
      <c r="I14" s="39" t="s">
        <v>5</v>
      </c>
      <c r="J14" s="27" t="s">
        <v>171</v>
      </c>
      <c r="K14" s="25" t="s">
        <v>184</v>
      </c>
      <c r="L14" s="7"/>
      <c r="M14" s="15" t="s">
        <v>66</v>
      </c>
      <c r="N14" s="14" t="s">
        <v>34</v>
      </c>
      <c r="O14" s="14" t="s">
        <v>173</v>
      </c>
      <c r="P14" s="15" t="s">
        <v>174</v>
      </c>
    </row>
    <row r="15" customFormat="false" ht="39" hidden="false" customHeight="true" outlineLevel="0" collapsed="false">
      <c r="A15" s="38" t="n">
        <v>12</v>
      </c>
      <c r="B15" s="25" t="s">
        <v>122</v>
      </c>
      <c r="C15" s="25" t="s">
        <v>132</v>
      </c>
      <c r="D15" s="25" t="s">
        <v>133</v>
      </c>
      <c r="E15" s="25" t="s">
        <v>185</v>
      </c>
      <c r="F15" s="27" t="s">
        <v>186</v>
      </c>
      <c r="G15" s="27" t="s">
        <v>170</v>
      </c>
      <c r="H15" s="27" t="s">
        <v>186</v>
      </c>
      <c r="I15" s="39" t="s">
        <v>5</v>
      </c>
      <c r="J15" s="27" t="s">
        <v>171</v>
      </c>
      <c r="K15" s="27" t="s">
        <v>187</v>
      </c>
      <c r="L15" s="7"/>
      <c r="M15" s="15" t="s">
        <v>66</v>
      </c>
      <c r="N15" s="14" t="s">
        <v>34</v>
      </c>
      <c r="O15" s="14" t="s">
        <v>173</v>
      </c>
      <c r="P15" s="15" t="s">
        <v>174</v>
      </c>
    </row>
    <row r="16" customFormat="false" ht="39" hidden="false" customHeight="true" outlineLevel="0" collapsed="false">
      <c r="A16" s="38" t="n">
        <v>13</v>
      </c>
      <c r="B16" s="25" t="s">
        <v>122</v>
      </c>
      <c r="C16" s="25" t="s">
        <v>112</v>
      </c>
      <c r="D16" s="25" t="s">
        <v>113</v>
      </c>
      <c r="E16" s="25" t="s">
        <v>168</v>
      </c>
      <c r="F16" s="27" t="s">
        <v>180</v>
      </c>
      <c r="G16" s="27" t="s">
        <v>170</v>
      </c>
      <c r="H16" s="27" t="s">
        <v>180</v>
      </c>
      <c r="I16" s="39" t="s">
        <v>5</v>
      </c>
      <c r="J16" s="27" t="s">
        <v>171</v>
      </c>
      <c r="K16" s="27" t="s">
        <v>188</v>
      </c>
      <c r="L16" s="7"/>
      <c r="M16" s="15" t="s">
        <v>66</v>
      </c>
      <c r="N16" s="14" t="s">
        <v>34</v>
      </c>
      <c r="O16" s="14" t="s">
        <v>173</v>
      </c>
      <c r="P16" s="15" t="s">
        <v>174</v>
      </c>
    </row>
    <row r="17" customFormat="false" ht="39" hidden="false" customHeight="true" outlineLevel="0" collapsed="false">
      <c r="A17" s="38" t="n">
        <v>14</v>
      </c>
      <c r="B17" s="25" t="s">
        <v>122</v>
      </c>
      <c r="C17" s="25" t="s">
        <v>123</v>
      </c>
      <c r="D17" s="25" t="s">
        <v>124</v>
      </c>
      <c r="E17" s="25" t="s">
        <v>168</v>
      </c>
      <c r="F17" s="27" t="s">
        <v>180</v>
      </c>
      <c r="G17" s="27" t="s">
        <v>170</v>
      </c>
      <c r="H17" s="27" t="s">
        <v>180</v>
      </c>
      <c r="I17" s="39" t="s">
        <v>5</v>
      </c>
      <c r="J17" s="27" t="s">
        <v>171</v>
      </c>
      <c r="K17" s="25" t="s">
        <v>189</v>
      </c>
      <c r="L17" s="7"/>
      <c r="M17" s="15" t="s">
        <v>66</v>
      </c>
      <c r="N17" s="14" t="s">
        <v>34</v>
      </c>
      <c r="O17" s="14" t="s">
        <v>173</v>
      </c>
      <c r="P17" s="15" t="s">
        <v>174</v>
      </c>
    </row>
    <row r="18" customFormat="false" ht="39" hidden="false" customHeight="true" outlineLevel="0" collapsed="false">
      <c r="A18" s="38" t="n">
        <v>15</v>
      </c>
      <c r="B18" s="25" t="s">
        <v>122</v>
      </c>
      <c r="C18" s="25" t="s">
        <v>190</v>
      </c>
      <c r="D18" s="25" t="s">
        <v>191</v>
      </c>
      <c r="E18" s="25" t="s">
        <v>185</v>
      </c>
      <c r="F18" s="27" t="s">
        <v>192</v>
      </c>
      <c r="G18" s="27" t="s">
        <v>170</v>
      </c>
      <c r="H18" s="27" t="s">
        <v>192</v>
      </c>
      <c r="I18" s="39" t="s">
        <v>5</v>
      </c>
      <c r="J18" s="27" t="s">
        <v>171</v>
      </c>
      <c r="K18" s="27" t="s">
        <v>193</v>
      </c>
      <c r="L18" s="7"/>
      <c r="M18" s="15" t="s">
        <v>66</v>
      </c>
      <c r="N18" s="14" t="s">
        <v>34</v>
      </c>
      <c r="O18" s="14" t="s">
        <v>173</v>
      </c>
      <c r="P18" s="15" t="s">
        <v>174</v>
      </c>
    </row>
    <row r="19" customFormat="false" ht="39" hidden="false" customHeight="true" outlineLevel="0" collapsed="false">
      <c r="A19" s="38" t="n">
        <v>16</v>
      </c>
      <c r="B19" s="25" t="s">
        <v>122</v>
      </c>
      <c r="C19" s="25" t="s">
        <v>102</v>
      </c>
      <c r="D19" s="25" t="s">
        <v>103</v>
      </c>
      <c r="E19" s="25" t="s">
        <v>168</v>
      </c>
      <c r="F19" s="27" t="s">
        <v>194</v>
      </c>
      <c r="G19" s="27" t="s">
        <v>170</v>
      </c>
      <c r="H19" s="27" t="s">
        <v>194</v>
      </c>
      <c r="I19" s="39" t="s">
        <v>5</v>
      </c>
      <c r="J19" s="27" t="s">
        <v>171</v>
      </c>
      <c r="K19" s="25" t="s">
        <v>195</v>
      </c>
      <c r="L19" s="7"/>
      <c r="M19" s="15" t="s">
        <v>66</v>
      </c>
      <c r="N19" s="14" t="s">
        <v>34</v>
      </c>
      <c r="O19" s="14" t="s">
        <v>173</v>
      </c>
      <c r="P19" s="15" t="s">
        <v>174</v>
      </c>
    </row>
    <row r="20" customFormat="false" ht="39" hidden="false" customHeight="true" outlineLevel="0" collapsed="false">
      <c r="A20" s="38" t="n">
        <v>17</v>
      </c>
      <c r="B20" s="25" t="s">
        <v>122</v>
      </c>
      <c r="C20" s="25" t="s">
        <v>166</v>
      </c>
      <c r="D20" s="25" t="s">
        <v>167</v>
      </c>
      <c r="E20" s="25" t="s">
        <v>196</v>
      </c>
      <c r="F20" s="25" t="s">
        <v>197</v>
      </c>
      <c r="G20" s="27" t="s">
        <v>198</v>
      </c>
      <c r="H20" s="25" t="s">
        <v>197</v>
      </c>
      <c r="I20" s="39" t="s">
        <v>5</v>
      </c>
      <c r="J20" s="27" t="s">
        <v>199</v>
      </c>
      <c r="K20" s="25" t="s">
        <v>200</v>
      </c>
      <c r="L20" s="7"/>
      <c r="M20" s="15" t="s">
        <v>61</v>
      </c>
      <c r="N20" s="14" t="s">
        <v>34</v>
      </c>
      <c r="O20" s="14" t="s">
        <v>201</v>
      </c>
      <c r="P20" s="14" t="s">
        <v>202</v>
      </c>
    </row>
    <row r="21" customFormat="false" ht="39" hidden="false" customHeight="true" outlineLevel="0" collapsed="false">
      <c r="A21" s="38" t="n">
        <v>18</v>
      </c>
      <c r="B21" s="25" t="s">
        <v>122</v>
      </c>
      <c r="C21" s="25" t="s">
        <v>166</v>
      </c>
      <c r="D21" s="25" t="s">
        <v>175</v>
      </c>
      <c r="E21" s="25" t="s">
        <v>196</v>
      </c>
      <c r="F21" s="27" t="s">
        <v>203</v>
      </c>
      <c r="G21" s="27" t="s">
        <v>198</v>
      </c>
      <c r="H21" s="27" t="s">
        <v>203</v>
      </c>
      <c r="I21" s="39" t="s">
        <v>5</v>
      </c>
      <c r="J21" s="27" t="s">
        <v>199</v>
      </c>
      <c r="K21" s="27" t="s">
        <v>204</v>
      </c>
      <c r="L21" s="7"/>
      <c r="M21" s="15" t="s">
        <v>61</v>
      </c>
      <c r="N21" s="14" t="s">
        <v>34</v>
      </c>
      <c r="O21" s="14" t="s">
        <v>201</v>
      </c>
      <c r="P21" s="14" t="s">
        <v>202</v>
      </c>
    </row>
    <row r="22" customFormat="false" ht="39" hidden="false" customHeight="true" outlineLevel="0" collapsed="false">
      <c r="A22" s="38" t="n">
        <v>19</v>
      </c>
      <c r="B22" s="25" t="s">
        <v>122</v>
      </c>
      <c r="C22" s="25" t="s">
        <v>205</v>
      </c>
      <c r="D22" s="25" t="s">
        <v>206</v>
      </c>
      <c r="E22" s="25" t="s">
        <v>196</v>
      </c>
      <c r="F22" s="27" t="s">
        <v>207</v>
      </c>
      <c r="G22" s="27" t="s">
        <v>208</v>
      </c>
      <c r="H22" s="27" t="s">
        <v>209</v>
      </c>
      <c r="I22" s="39" t="s">
        <v>9</v>
      </c>
      <c r="J22" s="27" t="s">
        <v>210</v>
      </c>
      <c r="K22" s="27" t="s">
        <v>211</v>
      </c>
      <c r="L22" s="7" t="s">
        <v>212</v>
      </c>
      <c r="M22" s="15" t="s">
        <v>61</v>
      </c>
      <c r="N22" s="14" t="s">
        <v>30</v>
      </c>
      <c r="O22" s="14" t="s">
        <v>213</v>
      </c>
      <c r="P22" s="14" t="s">
        <v>214</v>
      </c>
    </row>
    <row r="23" customFormat="false" ht="39" hidden="false" customHeight="true" outlineLevel="0" collapsed="false">
      <c r="A23" s="38" t="n">
        <v>20</v>
      </c>
      <c r="B23" s="25" t="s">
        <v>122</v>
      </c>
      <c r="C23" s="25" t="s">
        <v>178</v>
      </c>
      <c r="D23" s="25" t="s">
        <v>179</v>
      </c>
      <c r="E23" s="25" t="s">
        <v>196</v>
      </c>
      <c r="F23" s="25" t="s">
        <v>215</v>
      </c>
      <c r="G23" s="27" t="s">
        <v>198</v>
      </c>
      <c r="H23" s="25" t="s">
        <v>215</v>
      </c>
      <c r="I23" s="39" t="s">
        <v>5</v>
      </c>
      <c r="J23" s="27" t="s">
        <v>199</v>
      </c>
      <c r="K23" s="25" t="s">
        <v>216</v>
      </c>
      <c r="L23" s="7"/>
      <c r="M23" s="15" t="s">
        <v>61</v>
      </c>
      <c r="N23" s="14" t="s">
        <v>34</v>
      </c>
      <c r="O23" s="14" t="s">
        <v>201</v>
      </c>
      <c r="P23" s="14" t="s">
        <v>202</v>
      </c>
    </row>
    <row r="24" customFormat="false" ht="39" hidden="false" customHeight="true" outlineLevel="0" collapsed="false">
      <c r="A24" s="38" t="n">
        <v>21</v>
      </c>
      <c r="B24" s="25" t="s">
        <v>122</v>
      </c>
      <c r="C24" s="25" t="s">
        <v>182</v>
      </c>
      <c r="D24" s="25" t="s">
        <v>183</v>
      </c>
      <c r="E24" s="25" t="s">
        <v>196</v>
      </c>
      <c r="F24" s="25" t="s">
        <v>217</v>
      </c>
      <c r="G24" s="27" t="s">
        <v>198</v>
      </c>
      <c r="H24" s="25" t="s">
        <v>217</v>
      </c>
      <c r="I24" s="39" t="s">
        <v>5</v>
      </c>
      <c r="J24" s="27" t="s">
        <v>199</v>
      </c>
      <c r="K24" s="25" t="s">
        <v>218</v>
      </c>
      <c r="L24" s="7"/>
      <c r="M24" s="15" t="s">
        <v>61</v>
      </c>
      <c r="N24" s="14" t="s">
        <v>34</v>
      </c>
      <c r="O24" s="14" t="s">
        <v>201</v>
      </c>
      <c r="P24" s="14" t="s">
        <v>202</v>
      </c>
    </row>
    <row r="25" customFormat="false" ht="39" hidden="false" customHeight="true" outlineLevel="0" collapsed="false">
      <c r="A25" s="38" t="n">
        <v>22</v>
      </c>
      <c r="B25" s="25" t="s">
        <v>122</v>
      </c>
      <c r="C25" s="25" t="s">
        <v>132</v>
      </c>
      <c r="D25" s="25" t="s">
        <v>133</v>
      </c>
      <c r="E25" s="25" t="s">
        <v>196</v>
      </c>
      <c r="F25" s="27" t="s">
        <v>219</v>
      </c>
      <c r="G25" s="27" t="s">
        <v>198</v>
      </c>
      <c r="H25" s="27" t="s">
        <v>219</v>
      </c>
      <c r="I25" s="39" t="s">
        <v>5</v>
      </c>
      <c r="J25" s="27" t="s">
        <v>199</v>
      </c>
      <c r="K25" s="27" t="s">
        <v>220</v>
      </c>
      <c r="L25" s="7"/>
      <c r="M25" s="15" t="s">
        <v>61</v>
      </c>
      <c r="N25" s="14" t="s">
        <v>34</v>
      </c>
      <c r="O25" s="14" t="s">
        <v>201</v>
      </c>
      <c r="P25" s="14" t="s">
        <v>202</v>
      </c>
    </row>
    <row r="26" customFormat="false" ht="39" hidden="false" customHeight="true" outlineLevel="0" collapsed="false">
      <c r="A26" s="38" t="n">
        <v>23</v>
      </c>
      <c r="B26" s="25" t="s">
        <v>122</v>
      </c>
      <c r="C26" s="25" t="s">
        <v>112</v>
      </c>
      <c r="D26" s="25" t="s">
        <v>113</v>
      </c>
      <c r="E26" s="25" t="s">
        <v>196</v>
      </c>
      <c r="F26" s="27" t="s">
        <v>221</v>
      </c>
      <c r="G26" s="27" t="s">
        <v>198</v>
      </c>
      <c r="H26" s="27" t="s">
        <v>221</v>
      </c>
      <c r="I26" s="39" t="s">
        <v>5</v>
      </c>
      <c r="J26" s="27" t="s">
        <v>199</v>
      </c>
      <c r="K26" s="27" t="s">
        <v>222</v>
      </c>
      <c r="L26" s="7"/>
      <c r="M26" s="15" t="s">
        <v>61</v>
      </c>
      <c r="N26" s="14" t="s">
        <v>34</v>
      </c>
      <c r="O26" s="14" t="s">
        <v>201</v>
      </c>
      <c r="P26" s="14" t="s">
        <v>202</v>
      </c>
    </row>
    <row r="27" customFormat="false" ht="39" hidden="false" customHeight="true" outlineLevel="0" collapsed="false">
      <c r="A27" s="38" t="n">
        <v>24</v>
      </c>
      <c r="B27" s="25" t="s">
        <v>122</v>
      </c>
      <c r="C27" s="25" t="s">
        <v>123</v>
      </c>
      <c r="D27" s="25" t="s">
        <v>124</v>
      </c>
      <c r="E27" s="25" t="s">
        <v>196</v>
      </c>
      <c r="F27" s="25" t="s">
        <v>223</v>
      </c>
      <c r="G27" s="27" t="s">
        <v>198</v>
      </c>
      <c r="H27" s="25" t="s">
        <v>223</v>
      </c>
      <c r="I27" s="39" t="s">
        <v>5</v>
      </c>
      <c r="J27" s="27" t="s">
        <v>199</v>
      </c>
      <c r="K27" s="25" t="s">
        <v>224</v>
      </c>
      <c r="L27" s="7"/>
      <c r="M27" s="15" t="s">
        <v>61</v>
      </c>
      <c r="N27" s="14" t="s">
        <v>34</v>
      </c>
      <c r="O27" s="14" t="s">
        <v>201</v>
      </c>
      <c r="P27" s="14" t="s">
        <v>202</v>
      </c>
    </row>
    <row r="28" customFormat="false" ht="39" hidden="false" customHeight="true" outlineLevel="0" collapsed="false">
      <c r="A28" s="38" t="n">
        <v>25</v>
      </c>
      <c r="B28" s="25" t="s">
        <v>122</v>
      </c>
      <c r="C28" s="25" t="s">
        <v>190</v>
      </c>
      <c r="D28" s="25" t="s">
        <v>191</v>
      </c>
      <c r="E28" s="25" t="s">
        <v>196</v>
      </c>
      <c r="F28" s="27" t="s">
        <v>225</v>
      </c>
      <c r="G28" s="27" t="s">
        <v>198</v>
      </c>
      <c r="H28" s="27" t="s">
        <v>225</v>
      </c>
      <c r="I28" s="39" t="s">
        <v>5</v>
      </c>
      <c r="J28" s="27" t="s">
        <v>199</v>
      </c>
      <c r="K28" s="27" t="s">
        <v>226</v>
      </c>
      <c r="L28" s="7"/>
      <c r="M28" s="15" t="s">
        <v>61</v>
      </c>
      <c r="N28" s="14" t="s">
        <v>34</v>
      </c>
      <c r="O28" s="14" t="s">
        <v>201</v>
      </c>
      <c r="P28" s="14" t="s">
        <v>202</v>
      </c>
    </row>
    <row r="29" customFormat="false" ht="39" hidden="false" customHeight="true" outlineLevel="0" collapsed="false">
      <c r="A29" s="40" t="n">
        <v>26</v>
      </c>
      <c r="B29" s="41" t="s">
        <v>122</v>
      </c>
      <c r="C29" s="41" t="s">
        <v>102</v>
      </c>
      <c r="D29" s="41" t="s">
        <v>103</v>
      </c>
      <c r="E29" s="41" t="s">
        <v>196</v>
      </c>
      <c r="F29" s="41" t="s">
        <v>227</v>
      </c>
      <c r="G29" s="42" t="s">
        <v>198</v>
      </c>
      <c r="H29" s="41" t="s">
        <v>227</v>
      </c>
      <c r="I29" s="41" t="s">
        <v>5</v>
      </c>
      <c r="J29" s="42" t="s">
        <v>199</v>
      </c>
      <c r="K29" s="41" t="s">
        <v>228</v>
      </c>
      <c r="L29" s="12"/>
      <c r="M29" s="15" t="s">
        <v>61</v>
      </c>
      <c r="N29" s="14" t="s">
        <v>34</v>
      </c>
      <c r="O29" s="14" t="s">
        <v>201</v>
      </c>
      <c r="P29" s="14" t="s">
        <v>202</v>
      </c>
    </row>
  </sheetData>
  <mergeCells count="1">
    <mergeCell ref="A1:L1"/>
  </mergeCells>
  <conditionalFormatting sqref="I4:I29">
    <cfRule type="expression" priority="2" aboveAverage="0" equalAverage="0" bottom="0" percent="0" rank="0" text="" dxfId="0">
      <formula>I4="NEW_PARTIAL"</formula>
    </cfRule>
    <cfRule type="expression" priority="3" aboveAverage="0" equalAverage="0" bottom="0" percent="0" rank="0" text="" dxfId="1">
      <formula>I4="PARTIAL_KEEP"</formula>
    </cfRule>
    <cfRule type="expression" priority="4" aboveAverage="0" equalAverage="0" bottom="0" percent="0" rank="0" text="" dxfId="2">
      <formula>I4="SUPPORTING_ONLY"</formula>
    </cfRule>
    <cfRule type="expression" priority="5" aboveAverage="0" equalAverage="0" bottom="0" percent="0" rank="0" text="" dxfId="3">
      <formula>I4="NOT_FOUND"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38"/>
    <col collapsed="false" customWidth="true" hidden="false" outlineLevel="0" max="5" min="5" style="1" width="46"/>
    <col collapsed="false" customWidth="true" hidden="false" outlineLevel="0" max="6" min="6" style="1" width="40"/>
    <col collapsed="false" customWidth="true" hidden="false" outlineLevel="0" max="7" min="7" style="1" width="18"/>
    <col collapsed="false" customWidth="true" hidden="false" outlineLevel="0" max="8" min="8" style="1" width="42"/>
    <col collapsed="false" customWidth="true" hidden="false" outlineLevel="0" max="9" min="9" style="1" width="38"/>
    <col collapsed="false" customWidth="true" hidden="false" outlineLevel="0" max="10" min="10" style="1" width="48"/>
    <col collapsed="false" customWidth="true" hidden="false" outlineLevel="0" max="12" min="11" style="1" width="18"/>
    <col collapsed="false" customWidth="true" hidden="false" outlineLevel="0" max="13" min="13" style="1" width="62"/>
    <col collapsed="false" customWidth="true" hidden="false" outlineLevel="0" max="14" min="14" style="1" width="46"/>
  </cols>
  <sheetData>
    <row r="1" customFormat="false" ht="27.75" hidden="false" customHeight="true" outlineLevel="0" collapsed="false">
      <c r="A1" s="34" t="s">
        <v>229</v>
      </c>
      <c r="B1" s="34"/>
      <c r="C1" s="34"/>
      <c r="D1" s="34"/>
      <c r="E1" s="34"/>
      <c r="F1" s="34"/>
      <c r="G1" s="34"/>
      <c r="H1" s="34"/>
      <c r="I1" s="34"/>
      <c r="J1" s="34"/>
    </row>
    <row r="3" customFormat="false" ht="15" hidden="false" customHeight="true" outlineLevel="0" collapsed="false">
      <c r="A3" s="35" t="s">
        <v>230</v>
      </c>
      <c r="B3" s="36" t="s">
        <v>87</v>
      </c>
      <c r="C3" s="36" t="s">
        <v>231</v>
      </c>
      <c r="D3" s="36" t="s">
        <v>90</v>
      </c>
      <c r="E3" s="36" t="s">
        <v>91</v>
      </c>
      <c r="F3" s="36" t="s">
        <v>92</v>
      </c>
      <c r="G3" s="36" t="s">
        <v>93</v>
      </c>
      <c r="H3" s="36" t="s">
        <v>94</v>
      </c>
      <c r="I3" s="36" t="s">
        <v>95</v>
      </c>
      <c r="J3" s="37" t="s">
        <v>96</v>
      </c>
      <c r="K3" s="29" t="s">
        <v>97</v>
      </c>
      <c r="L3" s="30" t="s">
        <v>98</v>
      </c>
      <c r="M3" s="30" t="s">
        <v>99</v>
      </c>
      <c r="N3" s="30" t="s">
        <v>100</v>
      </c>
    </row>
    <row r="4" customFormat="false" ht="39" hidden="false" customHeight="true" outlineLevel="0" collapsed="false">
      <c r="A4" s="38" t="s">
        <v>232</v>
      </c>
      <c r="B4" s="25" t="s">
        <v>166</v>
      </c>
      <c r="C4" s="27" t="s">
        <v>233</v>
      </c>
      <c r="D4" s="27" t="s">
        <v>234</v>
      </c>
      <c r="E4" s="27" t="s">
        <v>235</v>
      </c>
      <c r="F4" s="27" t="s">
        <v>234</v>
      </c>
      <c r="G4" s="39" t="s">
        <v>5</v>
      </c>
      <c r="H4" s="25"/>
      <c r="I4" s="27" t="s">
        <v>236</v>
      </c>
      <c r="J4" s="7" t="s">
        <v>237</v>
      </c>
      <c r="K4" s="15" t="s">
        <v>71</v>
      </c>
      <c r="L4" s="14" t="s">
        <v>34</v>
      </c>
      <c r="M4" s="15" t="s">
        <v>238</v>
      </c>
      <c r="N4" s="14" t="s">
        <v>237</v>
      </c>
    </row>
    <row r="5" customFormat="false" ht="26.25" hidden="false" customHeight="true" outlineLevel="0" collapsed="false">
      <c r="A5" s="38" t="s">
        <v>239</v>
      </c>
      <c r="B5" s="25" t="s">
        <v>205</v>
      </c>
      <c r="C5" s="27" t="s">
        <v>240</v>
      </c>
      <c r="D5" s="27" t="s">
        <v>71</v>
      </c>
      <c r="E5" s="27" t="s">
        <v>241</v>
      </c>
      <c r="F5" s="27" t="s">
        <v>71</v>
      </c>
      <c r="G5" s="39" t="s">
        <v>5</v>
      </c>
      <c r="H5" s="27" t="s">
        <v>242</v>
      </c>
      <c r="I5" s="27" t="s">
        <v>243</v>
      </c>
      <c r="J5" s="7" t="s">
        <v>244</v>
      </c>
      <c r="K5" s="15" t="s">
        <v>71</v>
      </c>
      <c r="L5" s="14" t="s">
        <v>34</v>
      </c>
      <c r="M5" s="15" t="s">
        <v>245</v>
      </c>
      <c r="N5" s="14" t="s">
        <v>214</v>
      </c>
    </row>
    <row r="6" customFormat="false" ht="26.25" hidden="false" customHeight="true" outlineLevel="0" collapsed="false">
      <c r="A6" s="38" t="s">
        <v>246</v>
      </c>
      <c r="B6" s="25" t="s">
        <v>178</v>
      </c>
      <c r="C6" s="27" t="s">
        <v>247</v>
      </c>
      <c r="D6" s="27" t="s">
        <v>71</v>
      </c>
      <c r="E6" s="25" t="s">
        <v>248</v>
      </c>
      <c r="F6" s="27" t="s">
        <v>71</v>
      </c>
      <c r="G6" s="39" t="s">
        <v>5</v>
      </c>
      <c r="H6" s="25"/>
      <c r="I6" s="25" t="s">
        <v>249</v>
      </c>
      <c r="J6" s="7" t="s">
        <v>250</v>
      </c>
      <c r="K6" s="15" t="s">
        <v>71</v>
      </c>
      <c r="L6" s="14" t="s">
        <v>34</v>
      </c>
      <c r="M6" s="14" t="s">
        <v>251</v>
      </c>
      <c r="N6" s="14" t="s">
        <v>252</v>
      </c>
    </row>
    <row r="7" customFormat="false" ht="26.25" hidden="false" customHeight="true" outlineLevel="0" collapsed="false">
      <c r="A7" s="38" t="s">
        <v>253</v>
      </c>
      <c r="B7" s="25" t="s">
        <v>182</v>
      </c>
      <c r="C7" s="27" t="s">
        <v>254</v>
      </c>
      <c r="D7" s="27" t="s">
        <v>255</v>
      </c>
      <c r="E7" s="25" t="s">
        <v>256</v>
      </c>
      <c r="F7" s="27" t="s">
        <v>257</v>
      </c>
      <c r="G7" s="39" t="s">
        <v>11</v>
      </c>
      <c r="H7" s="27" t="s">
        <v>258</v>
      </c>
      <c r="I7" s="25" t="s">
        <v>259</v>
      </c>
      <c r="J7" s="7" t="s">
        <v>260</v>
      </c>
      <c r="K7" s="15" t="s">
        <v>71</v>
      </c>
      <c r="L7" s="14" t="s">
        <v>34</v>
      </c>
      <c r="M7" s="14" t="s">
        <v>261</v>
      </c>
      <c r="N7" s="14" t="s">
        <v>262</v>
      </c>
    </row>
    <row r="8" customFormat="false" ht="39" hidden="false" customHeight="true" outlineLevel="0" collapsed="false">
      <c r="A8" s="38" t="s">
        <v>263</v>
      </c>
      <c r="B8" s="25" t="s">
        <v>132</v>
      </c>
      <c r="C8" s="27" t="s">
        <v>264</v>
      </c>
      <c r="D8" s="25" t="s">
        <v>265</v>
      </c>
      <c r="E8" s="27" t="s">
        <v>266</v>
      </c>
      <c r="F8" s="25" t="s">
        <v>265</v>
      </c>
      <c r="G8" s="39" t="s">
        <v>5</v>
      </c>
      <c r="H8" s="25"/>
      <c r="I8" s="27" t="s">
        <v>267</v>
      </c>
      <c r="J8" s="7" t="s">
        <v>268</v>
      </c>
      <c r="K8" s="15" t="s">
        <v>71</v>
      </c>
      <c r="L8" s="14" t="s">
        <v>30</v>
      </c>
      <c r="M8" s="15" t="s">
        <v>269</v>
      </c>
      <c r="N8" s="14" t="s">
        <v>270</v>
      </c>
    </row>
    <row r="9" customFormat="false" ht="26.25" hidden="false" customHeight="true" outlineLevel="0" collapsed="false">
      <c r="A9" s="38" t="s">
        <v>271</v>
      </c>
      <c r="B9" s="25" t="s">
        <v>112</v>
      </c>
      <c r="C9" s="27" t="s">
        <v>272</v>
      </c>
      <c r="D9" s="27" t="s">
        <v>273</v>
      </c>
      <c r="E9" s="27" t="s">
        <v>274</v>
      </c>
      <c r="F9" s="25" t="s">
        <v>275</v>
      </c>
      <c r="G9" s="39" t="s">
        <v>11</v>
      </c>
      <c r="H9" s="25" t="s">
        <v>276</v>
      </c>
      <c r="I9" s="27" t="s">
        <v>277</v>
      </c>
      <c r="J9" s="7" t="s">
        <v>278</v>
      </c>
      <c r="K9" s="15" t="s">
        <v>71</v>
      </c>
      <c r="L9" s="14" t="s">
        <v>30</v>
      </c>
      <c r="M9" s="15" t="s">
        <v>279</v>
      </c>
      <c r="N9" s="14" t="s">
        <v>280</v>
      </c>
    </row>
    <row r="10" customFormat="false" ht="39" hidden="false" customHeight="true" outlineLevel="0" collapsed="false">
      <c r="A10" s="38" t="s">
        <v>281</v>
      </c>
      <c r="B10" s="25" t="s">
        <v>123</v>
      </c>
      <c r="C10" s="27" t="s">
        <v>282</v>
      </c>
      <c r="D10" s="27" t="s">
        <v>283</v>
      </c>
      <c r="E10" s="25" t="s">
        <v>284</v>
      </c>
      <c r="F10" s="27" t="s">
        <v>283</v>
      </c>
      <c r="G10" s="39" t="s">
        <v>5</v>
      </c>
      <c r="H10" s="25"/>
      <c r="I10" s="25" t="s">
        <v>285</v>
      </c>
      <c r="J10" s="7" t="s">
        <v>286</v>
      </c>
      <c r="K10" s="15" t="s">
        <v>71</v>
      </c>
      <c r="L10" s="14" t="s">
        <v>34</v>
      </c>
      <c r="M10" s="14" t="s">
        <v>287</v>
      </c>
      <c r="N10" s="14" t="s">
        <v>286</v>
      </c>
    </row>
    <row r="11" customFormat="false" ht="39" hidden="false" customHeight="true" outlineLevel="0" collapsed="false">
      <c r="A11" s="38" t="s">
        <v>288</v>
      </c>
      <c r="B11" s="25" t="s">
        <v>190</v>
      </c>
      <c r="C11" s="27" t="s">
        <v>289</v>
      </c>
      <c r="D11" s="27" t="s">
        <v>290</v>
      </c>
      <c r="E11" s="27" t="s">
        <v>291</v>
      </c>
      <c r="F11" s="27" t="s">
        <v>290</v>
      </c>
      <c r="G11" s="39" t="s">
        <v>5</v>
      </c>
      <c r="H11" s="27" t="s">
        <v>292</v>
      </c>
      <c r="I11" s="27" t="s">
        <v>293</v>
      </c>
      <c r="J11" s="7" t="s">
        <v>294</v>
      </c>
      <c r="K11" s="15" t="s">
        <v>71</v>
      </c>
      <c r="L11" s="14" t="s">
        <v>30</v>
      </c>
      <c r="M11" s="14" t="s">
        <v>295</v>
      </c>
      <c r="N11" s="14" t="s">
        <v>296</v>
      </c>
    </row>
    <row r="12" customFormat="false" ht="26.25" hidden="false" customHeight="true" outlineLevel="0" collapsed="false">
      <c r="A12" s="40" t="s">
        <v>297</v>
      </c>
      <c r="B12" s="41" t="s">
        <v>102</v>
      </c>
      <c r="C12" s="42" t="s">
        <v>298</v>
      </c>
      <c r="D12" s="42" t="s">
        <v>299</v>
      </c>
      <c r="E12" s="41" t="s">
        <v>300</v>
      </c>
      <c r="F12" s="42" t="s">
        <v>299</v>
      </c>
      <c r="G12" s="41" t="s">
        <v>5</v>
      </c>
      <c r="H12" s="41"/>
      <c r="I12" s="41" t="s">
        <v>301</v>
      </c>
      <c r="J12" s="43" t="s">
        <v>302</v>
      </c>
      <c r="K12" s="15" t="s">
        <v>71</v>
      </c>
      <c r="L12" s="14" t="s">
        <v>34</v>
      </c>
      <c r="M12" s="14" t="s">
        <v>303</v>
      </c>
      <c r="N12" s="14" t="s">
        <v>109</v>
      </c>
    </row>
  </sheetData>
  <mergeCells count="1">
    <mergeCell ref="A1:J1"/>
  </mergeCells>
  <conditionalFormatting sqref="G4:G12">
    <cfRule type="expression" priority="2" aboveAverage="0" equalAverage="0" bottom="0" percent="0" rank="0" text="" dxfId="0">
      <formula>G4="NEW_PARTIAL"</formula>
    </cfRule>
    <cfRule type="expression" priority="3" aboveAverage="0" equalAverage="0" bottom="0" percent="0" rank="0" text="" dxfId="1">
      <formula>G4="PARTIAL_KEEP"</formula>
    </cfRule>
    <cfRule type="expression" priority="4" aboveAverage="0" equalAverage="0" bottom="0" percent="0" rank="0" text="" dxfId="2">
      <formula>G4="SUPPORTING_ONLY"</formula>
    </cfRule>
    <cfRule type="expression" priority="5" aboveAverage="0" equalAverage="0" bottom="0" percent="0" rank="0" text="" dxfId="3">
      <formula>G4="NOT_FOUND"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66"/>
    <col collapsed="false" customWidth="true" hidden="false" outlineLevel="0" max="6" min="6" style="1" width="40"/>
    <col collapsed="false" customWidth="true" hidden="false" outlineLevel="0" max="7" min="7" style="1" width="18"/>
    <col collapsed="false" customWidth="true" hidden="false" outlineLevel="0" max="8" min="8" style="1" width="20"/>
  </cols>
  <sheetData>
    <row r="1" customFormat="false" ht="23.85" hidden="false" customHeight="false" outlineLevel="0" collapsed="false">
      <c r="A1" s="44" t="s">
        <v>304</v>
      </c>
      <c r="B1" s="44"/>
      <c r="C1" s="44"/>
      <c r="D1" s="44"/>
      <c r="E1" s="44"/>
      <c r="F1" s="44"/>
      <c r="G1" s="44"/>
      <c r="H1" s="44"/>
    </row>
    <row r="2" customFormat="false" ht="296.25" hidden="false" customHeight="false" outlineLevel="0" collapsed="false">
      <c r="A2" s="45" t="s">
        <v>305</v>
      </c>
    </row>
    <row r="3" customFormat="false" ht="17.15" hidden="false" customHeight="false" outlineLevel="0" collapsed="false">
      <c r="A3" s="30" t="s">
        <v>85</v>
      </c>
      <c r="B3" s="29" t="s">
        <v>306</v>
      </c>
      <c r="C3" s="29" t="s">
        <v>87</v>
      </c>
      <c r="D3" s="29" t="s">
        <v>1</v>
      </c>
      <c r="E3" s="29" t="s">
        <v>307</v>
      </c>
      <c r="F3" s="29" t="s">
        <v>308</v>
      </c>
      <c r="G3" s="29" t="s">
        <v>309</v>
      </c>
      <c r="H3" s="29" t="s">
        <v>310</v>
      </c>
    </row>
    <row r="4" customFormat="false" ht="17.15" hidden="false" customHeight="false" outlineLevel="0" collapsed="false">
      <c r="A4" s="14" t="n">
        <v>1</v>
      </c>
      <c r="B4" s="15" t="s">
        <v>311</v>
      </c>
      <c r="C4" s="14" t="s">
        <v>182</v>
      </c>
      <c r="D4" s="15" t="s">
        <v>312</v>
      </c>
      <c r="E4" s="15" t="s">
        <v>313</v>
      </c>
      <c r="F4" s="14" t="s">
        <v>314</v>
      </c>
      <c r="G4" s="15" t="s">
        <v>315</v>
      </c>
      <c r="H4" s="14" t="s">
        <v>316</v>
      </c>
    </row>
    <row r="5" customFormat="false" ht="17.15" hidden="false" customHeight="false" outlineLevel="0" collapsed="false">
      <c r="A5" s="14" t="n">
        <v>2</v>
      </c>
      <c r="B5" s="15" t="s">
        <v>317</v>
      </c>
      <c r="C5" s="14" t="s">
        <v>205</v>
      </c>
      <c r="D5" s="15" t="s">
        <v>318</v>
      </c>
      <c r="E5" s="14" t="s">
        <v>319</v>
      </c>
      <c r="F5" s="15" t="s">
        <v>320</v>
      </c>
      <c r="G5" s="15" t="s">
        <v>321</v>
      </c>
      <c r="H5" s="14" t="s">
        <v>316</v>
      </c>
    </row>
    <row r="6" customFormat="false" ht="48.5" hidden="false" customHeight="false" outlineLevel="0" collapsed="false">
      <c r="A6" s="14" t="n">
        <v>3</v>
      </c>
      <c r="B6" s="15" t="s">
        <v>322</v>
      </c>
      <c r="C6" s="14" t="s">
        <v>205</v>
      </c>
      <c r="D6" s="15" t="s">
        <v>323</v>
      </c>
      <c r="E6" s="14" t="s">
        <v>324</v>
      </c>
      <c r="F6" s="15" t="s">
        <v>320</v>
      </c>
      <c r="G6" s="15" t="s">
        <v>321</v>
      </c>
      <c r="H6" s="14" t="s">
        <v>316</v>
      </c>
    </row>
    <row r="7" customFormat="false" ht="46.25" hidden="false" customHeight="false" outlineLevel="0" collapsed="false">
      <c r="A7" s="14" t="n">
        <v>4</v>
      </c>
      <c r="B7" s="15" t="s">
        <v>317</v>
      </c>
      <c r="C7" s="14" t="s">
        <v>132</v>
      </c>
      <c r="D7" s="15" t="s">
        <v>325</v>
      </c>
      <c r="E7" s="15" t="s">
        <v>326</v>
      </c>
      <c r="F7" s="15" t="s">
        <v>327</v>
      </c>
      <c r="G7" s="15" t="s">
        <v>328</v>
      </c>
      <c r="H7" s="14" t="s">
        <v>316</v>
      </c>
    </row>
    <row r="8" customFormat="false" ht="32.8" hidden="false" customHeight="false" outlineLevel="0" collapsed="false">
      <c r="A8" s="14" t="n">
        <v>5</v>
      </c>
      <c r="B8" s="15" t="s">
        <v>329</v>
      </c>
      <c r="C8" s="14" t="s">
        <v>132</v>
      </c>
      <c r="D8" s="15" t="s">
        <v>330</v>
      </c>
      <c r="E8" s="15" t="s">
        <v>331</v>
      </c>
      <c r="F8" s="15" t="s">
        <v>327</v>
      </c>
      <c r="G8" s="15" t="s">
        <v>328</v>
      </c>
      <c r="H8" s="14" t="s">
        <v>316</v>
      </c>
    </row>
    <row r="9" customFormat="false" ht="32.8" hidden="false" customHeight="false" outlineLevel="0" collapsed="false">
      <c r="A9" s="14" t="n">
        <v>6</v>
      </c>
      <c r="B9" s="15" t="s">
        <v>329</v>
      </c>
      <c r="C9" s="14" t="s">
        <v>132</v>
      </c>
      <c r="D9" s="15" t="s">
        <v>332</v>
      </c>
      <c r="E9" s="15" t="s">
        <v>333</v>
      </c>
      <c r="F9" s="15" t="s">
        <v>327</v>
      </c>
      <c r="G9" s="15" t="s">
        <v>328</v>
      </c>
      <c r="H9" s="14" t="s">
        <v>316</v>
      </c>
    </row>
    <row r="10" customFormat="false" ht="32.8" hidden="false" customHeight="false" outlineLevel="0" collapsed="false">
      <c r="A10" s="14" t="n">
        <v>7</v>
      </c>
      <c r="B10" s="15" t="s">
        <v>311</v>
      </c>
      <c r="C10" s="14" t="s">
        <v>132</v>
      </c>
      <c r="D10" s="15" t="s">
        <v>334</v>
      </c>
      <c r="E10" s="14" t="s">
        <v>335</v>
      </c>
      <c r="F10" s="15" t="s">
        <v>327</v>
      </c>
      <c r="G10" s="15" t="s">
        <v>328</v>
      </c>
      <c r="H10" s="14" t="s">
        <v>316</v>
      </c>
    </row>
    <row r="11" customFormat="false" ht="48.5" hidden="false" customHeight="false" outlineLevel="0" collapsed="false">
      <c r="A11" s="14" t="n">
        <v>8</v>
      </c>
      <c r="B11" s="15" t="s">
        <v>336</v>
      </c>
      <c r="C11" s="14" t="s">
        <v>102</v>
      </c>
      <c r="D11" s="14" t="s">
        <v>337</v>
      </c>
      <c r="E11" s="14" t="s">
        <v>338</v>
      </c>
      <c r="F11" s="14" t="s">
        <v>339</v>
      </c>
      <c r="G11" s="15" t="s">
        <v>328</v>
      </c>
      <c r="H11" s="14" t="s">
        <v>340</v>
      </c>
    </row>
    <row r="12" customFormat="false" ht="32.8" hidden="false" customHeight="false" outlineLevel="0" collapsed="false">
      <c r="A12" s="14" t="n">
        <v>9</v>
      </c>
      <c r="B12" s="15" t="s">
        <v>341</v>
      </c>
      <c r="C12" s="14" t="s">
        <v>102</v>
      </c>
      <c r="D12" s="15" t="s">
        <v>342</v>
      </c>
      <c r="E12" s="15" t="s">
        <v>343</v>
      </c>
      <c r="F12" s="14" t="s">
        <v>339</v>
      </c>
      <c r="G12" s="15" t="s">
        <v>328</v>
      </c>
      <c r="H12" s="14" t="s">
        <v>340</v>
      </c>
    </row>
    <row r="13" customFormat="false" ht="48.5" hidden="false" customHeight="false" outlineLevel="0" collapsed="false">
      <c r="A13" s="14" t="n">
        <v>10</v>
      </c>
      <c r="B13" s="14" t="s">
        <v>344</v>
      </c>
      <c r="C13" s="14" t="s">
        <v>132</v>
      </c>
      <c r="D13" s="15" t="s">
        <v>345</v>
      </c>
      <c r="E13" s="14" t="s">
        <v>346</v>
      </c>
      <c r="F13" s="15" t="s">
        <v>347</v>
      </c>
      <c r="G13" s="15" t="s">
        <v>348</v>
      </c>
      <c r="H13" s="14" t="s">
        <v>349</v>
      </c>
    </row>
    <row r="14" customFormat="false" ht="32.8" hidden="false" customHeight="false" outlineLevel="0" collapsed="false">
      <c r="A14" s="14" t="n">
        <v>11</v>
      </c>
      <c r="B14" s="14" t="s">
        <v>344</v>
      </c>
      <c r="C14" s="14" t="s">
        <v>132</v>
      </c>
      <c r="D14" s="15" t="s">
        <v>350</v>
      </c>
      <c r="E14" s="14" t="s">
        <v>351</v>
      </c>
      <c r="F14" s="15" t="s">
        <v>352</v>
      </c>
      <c r="G14" s="15" t="s">
        <v>353</v>
      </c>
      <c r="H14" s="14" t="s">
        <v>354</v>
      </c>
    </row>
    <row r="15" customFormat="false" ht="48.5" hidden="false" customHeight="false" outlineLevel="0" collapsed="false">
      <c r="A15" s="14" t="n">
        <v>12</v>
      </c>
      <c r="B15" s="14" t="s">
        <v>355</v>
      </c>
      <c r="C15" s="14" t="s">
        <v>112</v>
      </c>
      <c r="D15" s="14" t="s">
        <v>356</v>
      </c>
      <c r="E15" s="14" t="s">
        <v>357</v>
      </c>
      <c r="F15" s="15" t="s">
        <v>358</v>
      </c>
      <c r="G15" s="15" t="s">
        <v>348</v>
      </c>
      <c r="H15" s="14" t="s">
        <v>359</v>
      </c>
    </row>
    <row r="16" customFormat="false" ht="48.5" hidden="false" customHeight="false" outlineLevel="0" collapsed="false">
      <c r="A16" s="14" t="n">
        <v>13</v>
      </c>
      <c r="B16" s="14" t="s">
        <v>344</v>
      </c>
      <c r="C16" s="14" t="s">
        <v>190</v>
      </c>
      <c r="D16" s="14" t="s">
        <v>360</v>
      </c>
      <c r="E16" s="15" t="s">
        <v>361</v>
      </c>
      <c r="F16" s="15" t="s">
        <v>362</v>
      </c>
      <c r="G16" s="15" t="s">
        <v>353</v>
      </c>
      <c r="H16" s="14" t="s">
        <v>363</v>
      </c>
    </row>
    <row r="17" customFormat="false" ht="48.5" hidden="false" customHeight="false" outlineLevel="0" collapsed="false">
      <c r="A17" s="14" t="n">
        <v>14</v>
      </c>
      <c r="B17" s="15" t="s">
        <v>364</v>
      </c>
      <c r="C17" s="14" t="s">
        <v>166</v>
      </c>
      <c r="D17" s="15" t="s">
        <v>365</v>
      </c>
      <c r="E17" s="15" t="s">
        <v>366</v>
      </c>
      <c r="F17" s="15" t="s">
        <v>367</v>
      </c>
      <c r="G17" s="15" t="s">
        <v>368</v>
      </c>
      <c r="H17" s="14" t="s">
        <v>316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62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52"/>
  </cols>
  <sheetData>
    <row r="1" customFormat="false" ht="23.85" hidden="false" customHeight="false" outlineLevel="0" collapsed="false">
      <c r="A1" s="44" t="s">
        <v>369</v>
      </c>
      <c r="B1" s="44"/>
      <c r="C1" s="44"/>
      <c r="D1" s="44"/>
      <c r="E1" s="44"/>
      <c r="F1" s="44"/>
      <c r="G1" s="44"/>
    </row>
    <row r="3" customFormat="false" ht="17.15" hidden="false" customHeight="false" outlineLevel="0" collapsed="false">
      <c r="A3" s="29" t="s">
        <v>370</v>
      </c>
      <c r="B3" s="29" t="s">
        <v>371</v>
      </c>
      <c r="C3" s="29" t="s">
        <v>372</v>
      </c>
      <c r="D3" s="30" t="s">
        <v>373</v>
      </c>
      <c r="E3" s="29" t="s">
        <v>374</v>
      </c>
      <c r="F3" s="29" t="s">
        <v>310</v>
      </c>
      <c r="G3" s="29" t="s">
        <v>375</v>
      </c>
    </row>
    <row r="4" customFormat="false" ht="48.5" hidden="false" customHeight="false" outlineLevel="0" collapsed="false">
      <c r="A4" s="13" t="s">
        <v>376</v>
      </c>
      <c r="B4" s="15" t="s">
        <v>377</v>
      </c>
      <c r="C4" s="15" t="s">
        <v>378</v>
      </c>
      <c r="D4" s="14" t="s">
        <v>379</v>
      </c>
      <c r="E4" s="15" t="s">
        <v>380</v>
      </c>
      <c r="F4" s="15" t="s">
        <v>381</v>
      </c>
      <c r="G4" s="14" t="s">
        <v>382</v>
      </c>
    </row>
    <row r="5" customFormat="false" ht="32.8" hidden="false" customHeight="false" outlineLevel="0" collapsed="false">
      <c r="A5" s="13" t="s">
        <v>383</v>
      </c>
      <c r="B5" s="15" t="s">
        <v>384</v>
      </c>
      <c r="C5" s="15" t="s">
        <v>385</v>
      </c>
      <c r="D5" s="14" t="s">
        <v>386</v>
      </c>
      <c r="E5" s="15" t="s">
        <v>380</v>
      </c>
      <c r="F5" s="15" t="s">
        <v>387</v>
      </c>
      <c r="G5" s="15" t="s">
        <v>388</v>
      </c>
    </row>
    <row r="6" customFormat="false" ht="30.55" hidden="false" customHeight="false" outlineLevel="0" collapsed="false">
      <c r="A6" s="13" t="s">
        <v>389</v>
      </c>
      <c r="B6" s="15" t="s">
        <v>390</v>
      </c>
      <c r="C6" s="14" t="s">
        <v>391</v>
      </c>
      <c r="D6" s="14" t="s">
        <v>392</v>
      </c>
      <c r="E6" s="15" t="s">
        <v>393</v>
      </c>
      <c r="F6" s="15" t="s">
        <v>394</v>
      </c>
      <c r="G6" s="15" t="s">
        <v>395</v>
      </c>
    </row>
    <row r="7" customFormat="false" ht="32.8" hidden="false" customHeight="false" outlineLevel="0" collapsed="false">
      <c r="A7" s="13" t="s">
        <v>396</v>
      </c>
      <c r="B7" s="14" t="s">
        <v>397</v>
      </c>
      <c r="C7" s="14" t="s">
        <v>398</v>
      </c>
      <c r="D7" s="14" t="s">
        <v>399</v>
      </c>
      <c r="E7" s="15" t="s">
        <v>328</v>
      </c>
      <c r="F7" s="14" t="s">
        <v>340</v>
      </c>
      <c r="G7" s="15" t="s">
        <v>400</v>
      </c>
    </row>
    <row r="8" customFormat="false" ht="17.15" hidden="false" customHeight="false" outlineLevel="0" collapsed="false">
      <c r="A8" s="13" t="s">
        <v>401</v>
      </c>
      <c r="B8" s="15" t="s">
        <v>402</v>
      </c>
      <c r="C8" s="14" t="s">
        <v>403</v>
      </c>
      <c r="D8" s="14" t="s">
        <v>404</v>
      </c>
      <c r="E8" s="15" t="s">
        <v>348</v>
      </c>
      <c r="F8" s="14" t="s">
        <v>359</v>
      </c>
      <c r="G8" s="14" t="s">
        <v>405</v>
      </c>
    </row>
    <row r="9" customFormat="false" ht="17.15" hidden="false" customHeight="false" outlineLevel="0" collapsed="false">
      <c r="A9" s="13" t="s">
        <v>406</v>
      </c>
      <c r="B9" s="15" t="s">
        <v>407</v>
      </c>
      <c r="C9" s="15" t="s">
        <v>408</v>
      </c>
      <c r="D9" s="14" t="s">
        <v>409</v>
      </c>
      <c r="E9" s="15" t="s">
        <v>348</v>
      </c>
      <c r="F9" s="14" t="s">
        <v>410</v>
      </c>
      <c r="G9" s="15" t="s">
        <v>411</v>
      </c>
    </row>
    <row r="10" customFormat="false" ht="17.15" hidden="false" customHeight="false" outlineLevel="0" collapsed="false">
      <c r="A10" s="13" t="s">
        <v>412</v>
      </c>
      <c r="B10" s="15" t="s">
        <v>413</v>
      </c>
      <c r="C10" s="15" t="s">
        <v>414</v>
      </c>
      <c r="D10" s="14" t="s">
        <v>415</v>
      </c>
      <c r="E10" s="15" t="s">
        <v>328</v>
      </c>
      <c r="F10" s="14" t="s">
        <v>316</v>
      </c>
      <c r="G10" s="15" t="s">
        <v>416</v>
      </c>
    </row>
    <row r="11" customFormat="false" ht="17.15" hidden="false" customHeight="false" outlineLevel="0" collapsed="false">
      <c r="A11" s="13" t="s">
        <v>417</v>
      </c>
      <c r="B11" s="14" t="s">
        <v>418</v>
      </c>
      <c r="C11" s="15" t="s">
        <v>419</v>
      </c>
      <c r="D11" s="14" t="s">
        <v>420</v>
      </c>
      <c r="E11" s="15" t="s">
        <v>315</v>
      </c>
      <c r="F11" s="14" t="s">
        <v>316</v>
      </c>
      <c r="G11" s="15" t="s">
        <v>421</v>
      </c>
    </row>
    <row r="12" customFormat="false" ht="17.15" hidden="false" customHeight="false" outlineLevel="0" collapsed="false">
      <c r="A12" s="13" t="s">
        <v>422</v>
      </c>
      <c r="B12" s="15" t="s">
        <v>423</v>
      </c>
      <c r="C12" s="15" t="s">
        <v>424</v>
      </c>
      <c r="D12" s="14" t="s">
        <v>214</v>
      </c>
      <c r="E12" s="15" t="s">
        <v>321</v>
      </c>
      <c r="F12" s="14" t="s">
        <v>316</v>
      </c>
      <c r="G12" s="15" t="s">
        <v>425</v>
      </c>
    </row>
    <row r="13" customFormat="false" ht="17.15" hidden="false" customHeight="false" outlineLevel="0" collapsed="false">
      <c r="A13" s="13" t="s">
        <v>426</v>
      </c>
      <c r="B13" s="15" t="s">
        <v>427</v>
      </c>
      <c r="C13" s="15" t="s">
        <v>428</v>
      </c>
      <c r="D13" s="14" t="s">
        <v>237</v>
      </c>
      <c r="E13" s="15" t="s">
        <v>368</v>
      </c>
      <c r="F13" s="14" t="s">
        <v>316</v>
      </c>
      <c r="G13" s="15" t="s">
        <v>429</v>
      </c>
    </row>
    <row r="14" customFormat="false" ht="17.15" hidden="false" customHeight="false" outlineLevel="0" collapsed="false">
      <c r="A14" s="13" t="s">
        <v>430</v>
      </c>
      <c r="B14" s="14" t="s">
        <v>431</v>
      </c>
      <c r="C14" s="15" t="s">
        <v>432</v>
      </c>
      <c r="D14" s="14" t="s">
        <v>202</v>
      </c>
      <c r="E14" s="15" t="s">
        <v>433</v>
      </c>
      <c r="F14" s="14" t="s">
        <v>316</v>
      </c>
      <c r="G14" s="15" t="s">
        <v>434</v>
      </c>
    </row>
    <row r="15" customFormat="false" ht="32.8" hidden="false" customHeight="false" outlineLevel="0" collapsed="false">
      <c r="A15" s="13" t="s">
        <v>435</v>
      </c>
      <c r="B15" s="15" t="s">
        <v>362</v>
      </c>
      <c r="C15" s="15" t="s">
        <v>436</v>
      </c>
      <c r="D15" s="14" t="s">
        <v>437</v>
      </c>
      <c r="E15" s="15" t="s">
        <v>353</v>
      </c>
      <c r="F15" s="14" t="s">
        <v>363</v>
      </c>
      <c r="G15" s="15" t="s">
        <v>438</v>
      </c>
    </row>
    <row r="16" customFormat="false" ht="17.15" hidden="false" customHeight="false" outlineLevel="0" collapsed="false">
      <c r="A16" s="13" t="s">
        <v>439</v>
      </c>
      <c r="B16" s="15" t="s">
        <v>352</v>
      </c>
      <c r="C16" s="15" t="s">
        <v>440</v>
      </c>
      <c r="D16" s="14" t="s">
        <v>441</v>
      </c>
      <c r="E16" s="15" t="s">
        <v>353</v>
      </c>
      <c r="F16" s="14" t="s">
        <v>354</v>
      </c>
      <c r="G16" s="14" t="s">
        <v>442</v>
      </c>
    </row>
    <row r="17" customFormat="false" ht="32.8" hidden="false" customHeight="false" outlineLevel="0" collapsed="false">
      <c r="A17" s="13" t="s">
        <v>443</v>
      </c>
      <c r="B17" s="15" t="s">
        <v>444</v>
      </c>
      <c r="C17" s="15" t="s">
        <v>445</v>
      </c>
      <c r="D17" s="14" t="s">
        <v>446</v>
      </c>
      <c r="E17" s="15" t="s">
        <v>447</v>
      </c>
      <c r="F17" s="14" t="s">
        <v>448</v>
      </c>
      <c r="G17" s="15" t="s">
        <v>449</v>
      </c>
    </row>
    <row r="18" customFormat="false" ht="30.55" hidden="false" customHeight="false" outlineLevel="0" collapsed="false">
      <c r="A18" s="13" t="s">
        <v>450</v>
      </c>
      <c r="B18" s="15" t="s">
        <v>451</v>
      </c>
      <c r="C18" s="15" t="s">
        <v>452</v>
      </c>
      <c r="D18" s="14" t="s">
        <v>453</v>
      </c>
      <c r="E18" s="15" t="s">
        <v>454</v>
      </c>
      <c r="F18" s="14" t="s">
        <v>455</v>
      </c>
      <c r="G18" s="15" t="s">
        <v>456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2026-09-05T04:44:09Z</dcterms:created>
  <dc:creator>openpyxl</dc:creator>
  <dc:description/>
  <dc:language>en-US</dc:language>
  <cp:lastModifiedBy/>
  <dcterms:modified xsi:type="dcterms:W3CDTF">2026-09-05T04:46:04Z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